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aiob\OneDrive\Área de Trabalho\VICENZO DASHBOARD AREAS\"/>
    </mc:Choice>
  </mc:AlternateContent>
  <xr:revisionPtr revIDLastSave="0" documentId="13_ncr:1_{A192B232-7101-4757-8BD0-56D39864E7FA}" xr6:coauthVersionLast="47" xr6:coauthVersionMax="47" xr10:uidLastSave="{00000000-0000-0000-0000-000000000000}"/>
  <bookViews>
    <workbookView xWindow="-103" yWindow="-103" windowWidth="24892" windowHeight="14914" tabRatio="876" xr2:uid="{00000000-000D-0000-FFFF-FFFF00000000}"/>
  </bookViews>
  <sheets>
    <sheet name="UNIDADES" sheetId="3" r:id="rId1"/>
    <sheet name="TIPOLOGIAS" sheetId="6" r:id="rId2"/>
    <sheet name="TABELA PRECOS" sheetId="1" r:id="rId3"/>
    <sheet name="TABELA DE PRECOS HILTON" sheetId="5" state="hidden" r:id="rId4"/>
  </sheets>
  <definedNames>
    <definedName name="_xlnm.Print_Titles" localSheetId="2">'TABELA PRECOS'!$1:$1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Q18" i="1"/>
  <c r="D81" i="3" l="1"/>
  <c r="D153" i="3"/>
  <c r="D82" i="3"/>
  <c r="D154" i="3"/>
  <c r="D83" i="3"/>
  <c r="D155" i="3"/>
  <c r="D84" i="3"/>
  <c r="D156" i="3"/>
  <c r="D85" i="3"/>
  <c r="D157" i="3"/>
  <c r="D86" i="3"/>
  <c r="D158" i="3"/>
  <c r="D87" i="3"/>
  <c r="D88" i="3"/>
  <c r="D89" i="3"/>
  <c r="D2" i="3"/>
  <c r="D99" i="3"/>
  <c r="D3" i="3"/>
  <c r="D100" i="3"/>
  <c r="D4" i="3"/>
  <c r="D101" i="3"/>
  <c r="D5" i="3"/>
  <c r="D102" i="3"/>
  <c r="D6" i="3"/>
  <c r="D103" i="3"/>
  <c r="D7" i="3"/>
  <c r="D104" i="3"/>
  <c r="D8" i="3"/>
  <c r="D90" i="3"/>
  <c r="D159" i="3"/>
  <c r="D91" i="3"/>
  <c r="D160" i="3"/>
  <c r="D92" i="3"/>
  <c r="D161" i="3"/>
  <c r="D93" i="3"/>
  <c r="D162" i="3"/>
  <c r="D94" i="3"/>
  <c r="D163" i="3"/>
  <c r="D95" i="3"/>
  <c r="D164" i="3"/>
  <c r="D96" i="3"/>
  <c r="D97" i="3"/>
  <c r="D98" i="3"/>
  <c r="D9" i="3"/>
  <c r="D105" i="3"/>
  <c r="D10" i="3"/>
  <c r="D106" i="3"/>
  <c r="D11" i="3"/>
  <c r="D107" i="3"/>
  <c r="D12" i="3"/>
  <c r="D108" i="3"/>
  <c r="D13" i="3"/>
  <c r="D109" i="3"/>
  <c r="D14" i="3"/>
  <c r="D110" i="3"/>
  <c r="D15" i="3"/>
  <c r="D16" i="3"/>
  <c r="D17" i="3"/>
  <c r="D18" i="3"/>
  <c r="D111" i="3"/>
  <c r="D19" i="3"/>
  <c r="D112" i="3"/>
  <c r="D20" i="3"/>
  <c r="D113" i="3"/>
  <c r="D21" i="3"/>
  <c r="D114" i="3"/>
  <c r="D22" i="3"/>
  <c r="D115" i="3"/>
  <c r="D23" i="3"/>
  <c r="D116" i="3"/>
  <c r="D24" i="3"/>
  <c r="D25" i="3"/>
  <c r="D26" i="3"/>
  <c r="D27" i="3"/>
  <c r="D117" i="3"/>
  <c r="D28" i="3"/>
  <c r="D118" i="3"/>
  <c r="D29" i="3"/>
  <c r="D119" i="3"/>
  <c r="D30" i="3"/>
  <c r="D120" i="3"/>
  <c r="D31" i="3"/>
  <c r="D121" i="3"/>
  <c r="D32" i="3"/>
  <c r="D122" i="3"/>
  <c r="D33" i="3"/>
  <c r="D34" i="3"/>
  <c r="D35" i="3"/>
  <c r="D36" i="3"/>
  <c r="D123" i="3"/>
  <c r="D37" i="3"/>
  <c r="D124" i="3"/>
  <c r="D38" i="3"/>
  <c r="D125" i="3"/>
  <c r="D39" i="3"/>
  <c r="D126" i="3"/>
  <c r="D40" i="3"/>
  <c r="D127" i="3"/>
  <c r="D41" i="3"/>
  <c r="D128" i="3"/>
  <c r="D42" i="3"/>
  <c r="D43" i="3"/>
  <c r="D44" i="3"/>
  <c r="D45" i="3"/>
  <c r="D129" i="3"/>
  <c r="D46" i="3"/>
  <c r="D130" i="3"/>
  <c r="D47" i="3"/>
  <c r="D131" i="3"/>
  <c r="D48" i="3"/>
  <c r="D132" i="3"/>
  <c r="D49" i="3"/>
  <c r="D133" i="3"/>
  <c r="D50" i="3"/>
  <c r="D134" i="3"/>
  <c r="D51" i="3"/>
  <c r="D52" i="3"/>
  <c r="D53" i="3"/>
  <c r="D54" i="3"/>
  <c r="D135" i="3"/>
  <c r="D55" i="3"/>
  <c r="D136" i="3"/>
  <c r="D56" i="3"/>
  <c r="D137" i="3"/>
  <c r="D57" i="3"/>
  <c r="D138" i="3"/>
  <c r="D58" i="3"/>
  <c r="D139" i="3"/>
  <c r="D59" i="3"/>
  <c r="D140" i="3"/>
  <c r="D60" i="3"/>
  <c r="D61" i="3"/>
  <c r="D62" i="3"/>
  <c r="D63" i="3"/>
  <c r="D141" i="3"/>
  <c r="D64" i="3"/>
  <c r="D142" i="3"/>
  <c r="D65" i="3"/>
  <c r="D143" i="3"/>
  <c r="D66" i="3"/>
  <c r="D144" i="3"/>
  <c r="D67" i="3"/>
  <c r="D145" i="3"/>
  <c r="D68" i="3"/>
  <c r="D146" i="3"/>
  <c r="D69" i="3"/>
  <c r="D70" i="3"/>
  <c r="D71" i="3"/>
  <c r="D72" i="3"/>
  <c r="D147" i="3"/>
  <c r="D73" i="3"/>
  <c r="D148" i="3"/>
  <c r="D74" i="3"/>
  <c r="D149" i="3"/>
  <c r="D75" i="3"/>
  <c r="D150" i="3"/>
  <c r="D76" i="3"/>
  <c r="D151" i="3"/>
  <c r="D77" i="3"/>
  <c r="D152" i="3"/>
  <c r="D78" i="3"/>
  <c r="D79" i="3"/>
  <c r="D80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2" i="1"/>
  <c r="F76" i="1"/>
  <c r="F79" i="1" s="1"/>
  <c r="F75" i="1"/>
  <c r="F83" i="1" s="1"/>
  <c r="F74" i="1"/>
  <c r="F73" i="1"/>
  <c r="F72" i="1"/>
  <c r="F71" i="1"/>
  <c r="F70" i="1"/>
  <c r="F8" i="1"/>
  <c r="F7" i="1"/>
  <c r="F6" i="1"/>
  <c r="F5" i="1"/>
  <c r="F4" i="1"/>
  <c r="F3" i="1"/>
  <c r="F84" i="1" l="1"/>
  <c r="F93" i="1" s="1"/>
  <c r="F101" i="1" s="1"/>
  <c r="F85" i="1"/>
  <c r="F94" i="1" s="1"/>
  <c r="F103" i="1" s="1"/>
  <c r="F14" i="1"/>
  <c r="F13" i="1"/>
  <c r="F12" i="1"/>
  <c r="F11" i="1"/>
  <c r="F9" i="1"/>
  <c r="F10" i="1"/>
  <c r="F77" i="1"/>
  <c r="F78" i="1"/>
  <c r="F80" i="1"/>
  <c r="F81" i="1"/>
  <c r="F82" i="1"/>
  <c r="F92" i="1" l="1"/>
  <c r="F91" i="1"/>
  <c r="F90" i="1"/>
  <c r="F98" i="1"/>
  <c r="F99" i="1"/>
  <c r="F100" i="1"/>
  <c r="F102" i="1"/>
  <c r="F109" i="1" s="1"/>
  <c r="F89" i="1"/>
  <c r="F88" i="1"/>
  <c r="F87" i="1"/>
  <c r="F86" i="1"/>
  <c r="F95" i="1"/>
  <c r="F96" i="1"/>
  <c r="F97" i="1"/>
  <c r="F20" i="1"/>
  <c r="F19" i="1"/>
  <c r="F18" i="1"/>
  <c r="F17" i="1"/>
  <c r="F16" i="1"/>
  <c r="F15" i="1"/>
  <c r="F106" i="1"/>
  <c r="F105" i="1"/>
  <c r="F104" i="1"/>
  <c r="F112" i="1"/>
  <c r="F110" i="1" l="1"/>
  <c r="F111" i="1"/>
  <c r="F120" i="1" s="1"/>
  <c r="F107" i="1"/>
  <c r="F108" i="1"/>
  <c r="F121" i="1"/>
  <c r="F115" i="1"/>
  <c r="F114" i="1"/>
  <c r="F113" i="1"/>
  <c r="F21" i="1"/>
  <c r="F22" i="1"/>
  <c r="F26" i="1"/>
  <c r="F25" i="1"/>
  <c r="F24" i="1"/>
  <c r="F23" i="1"/>
  <c r="F116" i="1" l="1"/>
  <c r="F117" i="1"/>
  <c r="F118" i="1"/>
  <c r="F119" i="1"/>
  <c r="F32" i="1"/>
  <c r="F31" i="1"/>
  <c r="F27" i="1"/>
  <c r="F29" i="1"/>
  <c r="F30" i="1"/>
  <c r="F28" i="1"/>
  <c r="F127" i="1"/>
  <c r="F126" i="1"/>
  <c r="F125" i="1"/>
  <c r="F129" i="1"/>
  <c r="F128" i="1"/>
  <c r="F123" i="1"/>
  <c r="F122" i="1"/>
  <c r="F130" i="1"/>
  <c r="F124" i="1"/>
  <c r="F139" i="1" l="1"/>
  <c r="F133" i="1"/>
  <c r="F132" i="1"/>
  <c r="F131" i="1"/>
  <c r="F138" i="1"/>
  <c r="F137" i="1"/>
  <c r="F136" i="1"/>
  <c r="F135" i="1"/>
  <c r="F134" i="1"/>
  <c r="F38" i="1"/>
  <c r="F37" i="1"/>
  <c r="F36" i="1"/>
  <c r="F35" i="1"/>
  <c r="F34" i="1"/>
  <c r="F33" i="1"/>
  <c r="F41" i="1" l="1"/>
  <c r="F40" i="1"/>
  <c r="F39" i="1"/>
  <c r="F43" i="1"/>
  <c r="F42" i="1"/>
  <c r="F44" i="1"/>
  <c r="F143" i="1"/>
  <c r="F147" i="1"/>
  <c r="F146" i="1"/>
  <c r="F145" i="1"/>
  <c r="F144" i="1"/>
  <c r="F142" i="1"/>
  <c r="F141" i="1"/>
  <c r="F140" i="1"/>
  <c r="F148" i="1"/>
  <c r="F157" i="1" l="1"/>
  <c r="F151" i="1"/>
  <c r="F150" i="1"/>
  <c r="F149" i="1"/>
  <c r="F156" i="1"/>
  <c r="F155" i="1"/>
  <c r="F154" i="1"/>
  <c r="F153" i="1"/>
  <c r="F152" i="1"/>
  <c r="F46" i="1"/>
  <c r="F45" i="1"/>
  <c r="F50" i="1"/>
  <c r="F49" i="1"/>
  <c r="F48" i="1"/>
  <c r="F47" i="1"/>
  <c r="F56" i="1" l="1"/>
  <c r="F55" i="1"/>
  <c r="F54" i="1"/>
  <c r="F53" i="1"/>
  <c r="F52" i="1"/>
  <c r="F51" i="1"/>
  <c r="F164" i="1"/>
  <c r="F163" i="1"/>
  <c r="F162" i="1"/>
  <c r="F161" i="1"/>
  <c r="F160" i="1"/>
  <c r="F159" i="1"/>
  <c r="F158" i="1"/>
  <c r="F61" i="1" l="1"/>
  <c r="F60" i="1"/>
  <c r="F59" i="1"/>
  <c r="F58" i="1"/>
  <c r="F57" i="1"/>
  <c r="F62" i="1"/>
  <c r="F67" i="1" l="1"/>
  <c r="F66" i="1"/>
  <c r="F65" i="1"/>
  <c r="F64" i="1"/>
  <c r="F63" i="1"/>
  <c r="B68" i="5" l="1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52" i="5"/>
  <c r="C152" i="5"/>
  <c r="B153" i="5"/>
  <c r="C153" i="5"/>
  <c r="B154" i="5"/>
  <c r="C154" i="5"/>
  <c r="B155" i="5"/>
  <c r="C155" i="5"/>
  <c r="B156" i="5"/>
  <c r="C156" i="5"/>
  <c r="B157" i="5"/>
  <c r="C157" i="5"/>
  <c r="B158" i="5"/>
  <c r="C158" i="5"/>
  <c r="B159" i="5"/>
  <c r="C159" i="5"/>
  <c r="B160" i="5"/>
  <c r="C160" i="5"/>
  <c r="B161" i="5"/>
  <c r="C161" i="5"/>
  <c r="B162" i="5"/>
  <c r="C162" i="5"/>
  <c r="B163" i="5"/>
  <c r="C163" i="5"/>
  <c r="B164" i="5"/>
  <c r="C164" i="5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C2" i="5"/>
  <c r="B2" i="5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2" i="1"/>
  <c r="Q2" i="3"/>
  <c r="D68" i="5" s="1"/>
  <c r="Q3" i="3"/>
  <c r="D69" i="5" s="1"/>
  <c r="Q4" i="3"/>
  <c r="Q5" i="3"/>
  <c r="Q6" i="3"/>
  <c r="Q7" i="3"/>
  <c r="D73" i="5" s="1"/>
  <c r="Q8" i="3"/>
  <c r="Q9" i="3"/>
  <c r="D75" i="5" s="1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D134" i="5" s="1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D148" i="5" s="1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D6" i="5" s="1"/>
  <c r="Q104" i="3"/>
  <c r="D7" i="5" s="1"/>
  <c r="Q105" i="3"/>
  <c r="Q106" i="3"/>
  <c r="Q107" i="3"/>
  <c r="Q108" i="3"/>
  <c r="D11" i="5" s="1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D25" i="5" s="1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D45" i="5" s="1"/>
  <c r="Q143" i="3"/>
  <c r="D46" i="5" s="1"/>
  <c r="Q144" i="3"/>
  <c r="Q145" i="3"/>
  <c r="D48" i="5" s="1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E25" i="1"/>
  <c r="E7" i="1" l="1"/>
  <c r="E45" i="1"/>
  <c r="E69" i="1"/>
  <c r="E6" i="1"/>
  <c r="E73" i="1"/>
  <c r="E68" i="1"/>
  <c r="E11" i="1"/>
  <c r="E148" i="1"/>
  <c r="E134" i="1"/>
  <c r="E75" i="1"/>
  <c r="E59" i="1"/>
  <c r="D59" i="5"/>
  <c r="E39" i="1"/>
  <c r="D39" i="5"/>
  <c r="E19" i="1"/>
  <c r="D19" i="5"/>
  <c r="E162" i="1"/>
  <c r="D162" i="5"/>
  <c r="E142" i="1"/>
  <c r="D142" i="5"/>
  <c r="E122" i="1"/>
  <c r="D122" i="5"/>
  <c r="E102" i="1"/>
  <c r="D102" i="5"/>
  <c r="E82" i="1"/>
  <c r="D82" i="5"/>
  <c r="E84" i="1"/>
  <c r="D84" i="5"/>
  <c r="E141" i="1"/>
  <c r="D141" i="5"/>
  <c r="E57" i="1"/>
  <c r="D57" i="5"/>
  <c r="E37" i="1"/>
  <c r="D37" i="5"/>
  <c r="E17" i="1"/>
  <c r="D17" i="5"/>
  <c r="E160" i="1"/>
  <c r="D160" i="5"/>
  <c r="E140" i="1"/>
  <c r="D140" i="5"/>
  <c r="E120" i="1"/>
  <c r="D120" i="5"/>
  <c r="E100" i="1"/>
  <c r="D100" i="5"/>
  <c r="E80" i="1"/>
  <c r="D80" i="5"/>
  <c r="E56" i="1"/>
  <c r="D56" i="5"/>
  <c r="E36" i="1"/>
  <c r="D36" i="5"/>
  <c r="E16" i="1"/>
  <c r="D16" i="5"/>
  <c r="E159" i="1"/>
  <c r="D159" i="5"/>
  <c r="E139" i="1"/>
  <c r="D139" i="5"/>
  <c r="E119" i="1"/>
  <c r="D119" i="5"/>
  <c r="E99" i="1"/>
  <c r="D99" i="5"/>
  <c r="E79" i="1"/>
  <c r="D79" i="5"/>
  <c r="E40" i="1"/>
  <c r="D40" i="5"/>
  <c r="E104" i="1"/>
  <c r="D104" i="5"/>
  <c r="E35" i="1"/>
  <c r="D35" i="5"/>
  <c r="E138" i="1"/>
  <c r="D138" i="5"/>
  <c r="E78" i="1"/>
  <c r="D78" i="5"/>
  <c r="E34" i="1"/>
  <c r="D34" i="5"/>
  <c r="E53" i="1"/>
  <c r="D53" i="5"/>
  <c r="E33" i="1"/>
  <c r="D33" i="5"/>
  <c r="E76" i="1"/>
  <c r="D76" i="5"/>
  <c r="E21" i="1"/>
  <c r="D21" i="5"/>
  <c r="E161" i="1"/>
  <c r="D161" i="5"/>
  <c r="E116" i="1"/>
  <c r="D116" i="5"/>
  <c r="E101" i="1"/>
  <c r="D101" i="5"/>
  <c r="E153" i="1"/>
  <c r="D153" i="5"/>
  <c r="E93" i="1"/>
  <c r="D93" i="5"/>
  <c r="E60" i="1"/>
  <c r="D60" i="5"/>
  <c r="E143" i="1"/>
  <c r="D143" i="5"/>
  <c r="E103" i="1"/>
  <c r="D103" i="5"/>
  <c r="E13" i="1"/>
  <c r="D13" i="5"/>
  <c r="E94" i="1"/>
  <c r="D94" i="5"/>
  <c r="E9" i="1"/>
  <c r="D9" i="5"/>
  <c r="E121" i="1"/>
  <c r="D121" i="5"/>
  <c r="E54" i="1"/>
  <c r="D54" i="5"/>
  <c r="E14" i="1"/>
  <c r="D14" i="5"/>
  <c r="E157" i="1"/>
  <c r="D157" i="5"/>
  <c r="E117" i="1"/>
  <c r="D117" i="5"/>
  <c r="E97" i="1"/>
  <c r="D97" i="5"/>
  <c r="E77" i="1"/>
  <c r="D77" i="5"/>
  <c r="E72" i="1"/>
  <c r="D72" i="5"/>
  <c r="E28" i="1"/>
  <c r="D28" i="5"/>
  <c r="E8" i="1"/>
  <c r="D8" i="5"/>
  <c r="E151" i="1"/>
  <c r="D151" i="5"/>
  <c r="E131" i="1"/>
  <c r="D131" i="5"/>
  <c r="E111" i="1"/>
  <c r="D111" i="5"/>
  <c r="E91" i="1"/>
  <c r="D91" i="5"/>
  <c r="E71" i="1"/>
  <c r="D71" i="5"/>
  <c r="E61" i="1"/>
  <c r="D61" i="5"/>
  <c r="E41" i="1"/>
  <c r="D41" i="5"/>
  <c r="E124" i="1"/>
  <c r="D124" i="5"/>
  <c r="E58" i="1"/>
  <c r="D58" i="5"/>
  <c r="E38" i="1"/>
  <c r="D38" i="5"/>
  <c r="E18" i="1"/>
  <c r="D18" i="5"/>
  <c r="E81" i="1"/>
  <c r="D81" i="5"/>
  <c r="E158" i="1"/>
  <c r="D158" i="5"/>
  <c r="E114" i="1"/>
  <c r="D114" i="5"/>
  <c r="E74" i="1"/>
  <c r="D74" i="5"/>
  <c r="E29" i="1"/>
  <c r="D29" i="5"/>
  <c r="E67" i="1"/>
  <c r="D67" i="5"/>
  <c r="E47" i="1"/>
  <c r="D47" i="5"/>
  <c r="E27" i="1"/>
  <c r="D27" i="5"/>
  <c r="E150" i="1"/>
  <c r="D150" i="5"/>
  <c r="E130" i="1"/>
  <c r="D130" i="5"/>
  <c r="E110" i="1"/>
  <c r="D110" i="5"/>
  <c r="E90" i="1"/>
  <c r="D90" i="5"/>
  <c r="E70" i="1"/>
  <c r="D70" i="5"/>
  <c r="E144" i="1"/>
  <c r="D144" i="5"/>
  <c r="E98" i="1"/>
  <c r="D98" i="5"/>
  <c r="E136" i="1"/>
  <c r="D136" i="5"/>
  <c r="E52" i="1"/>
  <c r="D52" i="5"/>
  <c r="E32" i="1"/>
  <c r="D32" i="5"/>
  <c r="E12" i="1"/>
  <c r="D12" i="5"/>
  <c r="E155" i="1"/>
  <c r="D155" i="5"/>
  <c r="E135" i="1"/>
  <c r="D135" i="5"/>
  <c r="E115" i="1"/>
  <c r="D115" i="5"/>
  <c r="E95" i="1"/>
  <c r="D95" i="5"/>
  <c r="E164" i="1"/>
  <c r="D164" i="5"/>
  <c r="E20" i="1"/>
  <c r="D20" i="5"/>
  <c r="E163" i="1"/>
  <c r="D163" i="5"/>
  <c r="E123" i="1"/>
  <c r="D123" i="5"/>
  <c r="E83" i="1"/>
  <c r="D83" i="5"/>
  <c r="E55" i="1"/>
  <c r="D55" i="5"/>
  <c r="E15" i="1"/>
  <c r="D15" i="5"/>
  <c r="E118" i="1"/>
  <c r="D118" i="5"/>
  <c r="E137" i="1"/>
  <c r="D137" i="5"/>
  <c r="E156" i="1"/>
  <c r="D156" i="5"/>
  <c r="E49" i="1"/>
  <c r="D49" i="5"/>
  <c r="E152" i="1"/>
  <c r="D152" i="5"/>
  <c r="E109" i="1"/>
  <c r="D109" i="5"/>
  <c r="E5" i="1"/>
  <c r="D5" i="5"/>
  <c r="E128" i="1"/>
  <c r="D128" i="5"/>
  <c r="E108" i="1"/>
  <c r="D108" i="5"/>
  <c r="E88" i="1"/>
  <c r="D88" i="5"/>
  <c r="E50" i="1"/>
  <c r="D50" i="5"/>
  <c r="E30" i="1"/>
  <c r="D30" i="5"/>
  <c r="E10" i="1"/>
  <c r="D10" i="5"/>
  <c r="E113" i="1"/>
  <c r="D113" i="5"/>
  <c r="E132" i="1"/>
  <c r="D132" i="5"/>
  <c r="E149" i="1"/>
  <c r="D149" i="5"/>
  <c r="E129" i="1"/>
  <c r="D129" i="5"/>
  <c r="E89" i="1"/>
  <c r="D89" i="5"/>
  <c r="E64" i="1"/>
  <c r="D64" i="5"/>
  <c r="E44" i="1"/>
  <c r="D44" i="5"/>
  <c r="E24" i="1"/>
  <c r="D24" i="5"/>
  <c r="E4" i="1"/>
  <c r="D4" i="5"/>
  <c r="E147" i="1"/>
  <c r="D147" i="5"/>
  <c r="E127" i="1"/>
  <c r="D127" i="5"/>
  <c r="E107" i="1"/>
  <c r="D107" i="5"/>
  <c r="E87" i="1"/>
  <c r="D87" i="5"/>
  <c r="E96" i="1"/>
  <c r="D96" i="5"/>
  <c r="E51" i="1"/>
  <c r="D51" i="5"/>
  <c r="E31" i="1"/>
  <c r="D31" i="5"/>
  <c r="E92" i="1"/>
  <c r="D92" i="5"/>
  <c r="E65" i="1"/>
  <c r="D65" i="5"/>
  <c r="E48" i="1"/>
  <c r="E63" i="1"/>
  <c r="D63" i="5"/>
  <c r="E43" i="1"/>
  <c r="D43" i="5"/>
  <c r="E23" i="1"/>
  <c r="D23" i="5"/>
  <c r="E3" i="1"/>
  <c r="D3" i="5"/>
  <c r="E146" i="1"/>
  <c r="D146" i="5"/>
  <c r="E126" i="1"/>
  <c r="D126" i="5"/>
  <c r="E106" i="1"/>
  <c r="D106" i="5"/>
  <c r="E86" i="1"/>
  <c r="D86" i="5"/>
  <c r="E154" i="1"/>
  <c r="D154" i="5"/>
  <c r="E133" i="1"/>
  <c r="D133" i="5"/>
  <c r="E112" i="1"/>
  <c r="D112" i="5"/>
  <c r="E66" i="1"/>
  <c r="D66" i="5"/>
  <c r="E26" i="1"/>
  <c r="D26" i="5"/>
  <c r="E46" i="1"/>
  <c r="E62" i="1"/>
  <c r="D62" i="5"/>
  <c r="E42" i="1"/>
  <c r="D42" i="5"/>
  <c r="E22" i="1"/>
  <c r="D22" i="5"/>
  <c r="E2" i="1"/>
  <c r="D2" i="5"/>
  <c r="E145" i="1"/>
  <c r="D145" i="5"/>
  <c r="E125" i="1"/>
  <c r="D125" i="5"/>
  <c r="E105" i="1"/>
  <c r="D105" i="5"/>
  <c r="E85" i="1"/>
  <c r="D85" i="5"/>
  <c r="P2" i="1" l="1"/>
  <c r="G64" i="1" l="1"/>
  <c r="H64" i="1" s="1"/>
  <c r="N64" i="1" s="1"/>
  <c r="G2" i="1"/>
  <c r="H2" i="1" s="1"/>
  <c r="N2" i="1" s="1"/>
  <c r="G63" i="1"/>
  <c r="H63" i="1" s="1"/>
  <c r="N63" i="1" s="1"/>
  <c r="G5" i="1"/>
  <c r="G65" i="1"/>
  <c r="H65" i="1" s="1"/>
  <c r="N65" i="1" s="1"/>
  <c r="G66" i="1"/>
  <c r="H66" i="1" s="1"/>
  <c r="N66" i="1" s="1"/>
  <c r="G53" i="1"/>
  <c r="H53" i="1" s="1"/>
  <c r="N53" i="1" s="1"/>
  <c r="G45" i="1"/>
  <c r="H45" i="1" s="1"/>
  <c r="N45" i="1" s="1"/>
  <c r="G105" i="1"/>
  <c r="H105" i="1" s="1"/>
  <c r="N105" i="1" s="1"/>
  <c r="G67" i="1"/>
  <c r="H67" i="1" s="1"/>
  <c r="N67" i="1" s="1"/>
  <c r="G120" i="1"/>
  <c r="H120" i="1" s="1"/>
  <c r="N120" i="1" s="1"/>
  <c r="G144" i="1"/>
  <c r="H144" i="1" s="1"/>
  <c r="N144" i="1" s="1"/>
  <c r="G19" i="1"/>
  <c r="H19" i="1" s="1"/>
  <c r="N19" i="1" s="1"/>
  <c r="G130" i="1"/>
  <c r="H130" i="1" s="1"/>
  <c r="N130" i="1" s="1"/>
  <c r="G70" i="1"/>
  <c r="H70" i="1" s="1"/>
  <c r="N70" i="1" s="1"/>
  <c r="G25" i="1"/>
  <c r="H25" i="1" s="1"/>
  <c r="N25" i="1" s="1"/>
  <c r="G84" i="1"/>
  <c r="H84" i="1" s="1"/>
  <c r="N84" i="1" s="1"/>
  <c r="G149" i="1"/>
  <c r="H149" i="1" s="1"/>
  <c r="N149" i="1" s="1"/>
  <c r="G15" i="1"/>
  <c r="H15" i="1" s="1"/>
  <c r="N15" i="1" s="1"/>
  <c r="G139" i="1"/>
  <c r="H139" i="1" s="1"/>
  <c r="N139" i="1" s="1"/>
  <c r="G127" i="1"/>
  <c r="H127" i="1" s="1"/>
  <c r="N127" i="1" s="1"/>
  <c r="G103" i="1"/>
  <c r="H103" i="1" s="1"/>
  <c r="N103" i="1" s="1"/>
  <c r="G106" i="1"/>
  <c r="H106" i="1" s="1"/>
  <c r="N106" i="1" s="1"/>
  <c r="G86" i="1"/>
  <c r="H86" i="1" s="1"/>
  <c r="N86" i="1" s="1"/>
  <c r="G85" i="1"/>
  <c r="H85" i="1" s="1"/>
  <c r="N85" i="1" s="1"/>
  <c r="G20" i="1"/>
  <c r="H20" i="1" s="1"/>
  <c r="N20" i="1" s="1"/>
  <c r="G123" i="1"/>
  <c r="H123" i="1" s="1"/>
  <c r="N123" i="1" s="1"/>
  <c r="G96" i="1"/>
  <c r="H96" i="1" s="1"/>
  <c r="N96" i="1" s="1"/>
  <c r="G161" i="1"/>
  <c r="H161" i="1" s="1"/>
  <c r="N161" i="1" s="1"/>
  <c r="G88" i="1"/>
  <c r="H88" i="1" s="1"/>
  <c r="N88" i="1" s="1"/>
  <c r="G157" i="1"/>
  <c r="H157" i="1" s="1"/>
  <c r="N157" i="1" s="1"/>
  <c r="G147" i="1"/>
  <c r="H147" i="1" s="1"/>
  <c r="N147" i="1" s="1"/>
  <c r="G4" i="1"/>
  <c r="H4" i="1" s="1"/>
  <c r="N4" i="1" s="1"/>
  <c r="G163" i="1"/>
  <c r="H163" i="1" s="1"/>
  <c r="N163" i="1" s="1"/>
  <c r="G124" i="1"/>
  <c r="H124" i="1" s="1"/>
  <c r="N124" i="1" s="1"/>
  <c r="G89" i="1"/>
  <c r="H89" i="1" s="1"/>
  <c r="N89" i="1" s="1"/>
  <c r="G6" i="1"/>
  <c r="H6" i="1" s="1"/>
  <c r="N6" i="1" s="1"/>
  <c r="G158" i="1"/>
  <c r="H158" i="1" s="1"/>
  <c r="N158" i="1" s="1"/>
  <c r="G111" i="1"/>
  <c r="H111" i="1" s="1"/>
  <c r="N111" i="1" s="1"/>
  <c r="G81" i="1"/>
  <c r="H81" i="1" s="1"/>
  <c r="N81" i="1" s="1"/>
  <c r="G152" i="1"/>
  <c r="H152" i="1" s="1"/>
  <c r="N152" i="1" s="1"/>
  <c r="G72" i="1"/>
  <c r="H72" i="1" s="1"/>
  <c r="N72" i="1" s="1"/>
  <c r="G71" i="1"/>
  <c r="H71" i="1" s="1"/>
  <c r="N71" i="1" s="1"/>
  <c r="G101" i="1"/>
  <c r="H101" i="1" s="1"/>
  <c r="N101" i="1" s="1"/>
  <c r="G148" i="1"/>
  <c r="H148" i="1" s="1"/>
  <c r="N148" i="1" s="1"/>
  <c r="G26" i="1"/>
  <c r="H26" i="1" s="1"/>
  <c r="N26" i="1" s="1"/>
  <c r="G109" i="1"/>
  <c r="H109" i="1" s="1"/>
  <c r="N109" i="1" s="1"/>
  <c r="G82" i="1"/>
  <c r="H82" i="1" s="1"/>
  <c r="N82" i="1" s="1"/>
  <c r="G98" i="1"/>
  <c r="H98" i="1" s="1"/>
  <c r="N98" i="1" s="1"/>
  <c r="G129" i="1"/>
  <c r="H129" i="1" s="1"/>
  <c r="N129" i="1" s="1"/>
  <c r="G114" i="1"/>
  <c r="H114" i="1" s="1"/>
  <c r="N114" i="1" s="1"/>
  <c r="G73" i="1"/>
  <c r="H73" i="1" s="1"/>
  <c r="N73" i="1" s="1"/>
  <c r="G155" i="1"/>
  <c r="H155" i="1" s="1"/>
  <c r="N155" i="1" s="1"/>
  <c r="G21" i="1"/>
  <c r="H21" i="1" s="1"/>
  <c r="N21" i="1" s="1"/>
  <c r="G156" i="1"/>
  <c r="H156" i="1" s="1"/>
  <c r="N156" i="1" s="1"/>
  <c r="G90" i="1"/>
  <c r="H90" i="1" s="1"/>
  <c r="N90" i="1" s="1"/>
  <c r="G132" i="1"/>
  <c r="H132" i="1" s="1"/>
  <c r="N132" i="1" s="1"/>
  <c r="G76" i="1"/>
  <c r="H76" i="1" s="1"/>
  <c r="N76" i="1" s="1"/>
  <c r="G18" i="1"/>
  <c r="H18" i="1" s="1"/>
  <c r="N18" i="1" s="1"/>
  <c r="G151" i="1"/>
  <c r="H151" i="1" s="1"/>
  <c r="N151" i="1" s="1"/>
  <c r="G17" i="1"/>
  <c r="H17" i="1" s="1"/>
  <c r="N17" i="1" s="1"/>
  <c r="G142" i="1"/>
  <c r="H142" i="1" s="1"/>
  <c r="N142" i="1" s="1"/>
  <c r="G159" i="1"/>
  <c r="H159" i="1" s="1"/>
  <c r="N159" i="1" s="1"/>
  <c r="G119" i="1"/>
  <c r="H119" i="1" s="1"/>
  <c r="N119" i="1" s="1"/>
  <c r="G121" i="1"/>
  <c r="H121" i="1" s="1"/>
  <c r="N121" i="1" s="1"/>
  <c r="G113" i="1"/>
  <c r="H113" i="1" s="1"/>
  <c r="N113" i="1" s="1"/>
  <c r="G29" i="1"/>
  <c r="H29" i="1" s="1"/>
  <c r="N29" i="1" s="1"/>
  <c r="G14" i="1"/>
  <c r="H14" i="1" s="1"/>
  <c r="N14" i="1" s="1"/>
  <c r="G78" i="1"/>
  <c r="H78" i="1" s="1"/>
  <c r="N78" i="1" s="1"/>
  <c r="G107" i="1"/>
  <c r="H107" i="1" s="1"/>
  <c r="N107" i="1" s="1"/>
  <c r="G140" i="1"/>
  <c r="H140" i="1" s="1"/>
  <c r="N140" i="1" s="1"/>
  <c r="G95" i="1"/>
  <c r="H95" i="1" s="1"/>
  <c r="N95" i="1" s="1"/>
  <c r="G143" i="1"/>
  <c r="H143" i="1" s="1"/>
  <c r="N143" i="1" s="1"/>
  <c r="G91" i="1"/>
  <c r="H91" i="1" s="1"/>
  <c r="N91" i="1" s="1"/>
  <c r="G100" i="1"/>
  <c r="H100" i="1" s="1"/>
  <c r="N100" i="1" s="1"/>
  <c r="G11" i="1"/>
  <c r="H11" i="1" s="1"/>
  <c r="N11" i="1" s="1"/>
  <c r="G74" i="1"/>
  <c r="H74" i="1" s="1"/>
  <c r="N74" i="1" s="1"/>
  <c r="G162" i="1"/>
  <c r="H162" i="1" s="1"/>
  <c r="N162" i="1" s="1"/>
  <c r="H5" i="1"/>
  <c r="N5" i="1" s="1"/>
  <c r="G153" i="1"/>
  <c r="H153" i="1" s="1"/>
  <c r="N153" i="1" s="1"/>
  <c r="G68" i="1"/>
  <c r="H68" i="1" s="1"/>
  <c r="N68" i="1" s="1"/>
  <c r="G99" i="1"/>
  <c r="H99" i="1" s="1"/>
  <c r="N99" i="1" s="1"/>
  <c r="G87" i="1"/>
  <c r="H87" i="1" s="1"/>
  <c r="N87" i="1" s="1"/>
  <c r="G27" i="1"/>
  <c r="H27" i="1" s="1"/>
  <c r="N27" i="1" s="1"/>
  <c r="G31" i="1"/>
  <c r="H31" i="1" s="1"/>
  <c r="N31" i="1" s="1"/>
  <c r="G8" i="1"/>
  <c r="H8" i="1" s="1"/>
  <c r="N8" i="1" s="1"/>
  <c r="G9" i="1"/>
  <c r="H9" i="1" s="1"/>
  <c r="N9" i="1" s="1"/>
  <c r="G13" i="1"/>
  <c r="H13" i="1" s="1"/>
  <c r="N13" i="1" s="1"/>
  <c r="G126" i="1"/>
  <c r="H126" i="1" s="1"/>
  <c r="N126" i="1" s="1"/>
  <c r="G80" i="1"/>
  <c r="H80" i="1" s="1"/>
  <c r="N80" i="1" s="1"/>
  <c r="G24" i="1"/>
  <c r="H24" i="1" s="1"/>
  <c r="N24" i="1" s="1"/>
  <c r="G133" i="1"/>
  <c r="H133" i="1" s="1"/>
  <c r="N133" i="1" s="1"/>
  <c r="G97" i="1"/>
  <c r="H97" i="1" s="1"/>
  <c r="N97" i="1" s="1"/>
  <c r="G92" i="1"/>
  <c r="H92" i="1" s="1"/>
  <c r="N92" i="1" s="1"/>
  <c r="G22" i="1"/>
  <c r="H22" i="1" s="1"/>
  <c r="N22" i="1" s="1"/>
  <c r="G112" i="1"/>
  <c r="H112" i="1" s="1"/>
  <c r="N112" i="1" s="1"/>
  <c r="G3" i="1"/>
  <c r="H3" i="1" s="1"/>
  <c r="N3" i="1" s="1"/>
  <c r="G108" i="1"/>
  <c r="H108" i="1" s="1"/>
  <c r="N108" i="1" s="1"/>
  <c r="G16" i="1"/>
  <c r="H16" i="1" s="1"/>
  <c r="N16" i="1" s="1"/>
  <c r="G93" i="1"/>
  <c r="H93" i="1" s="1"/>
  <c r="N93" i="1" s="1"/>
  <c r="G12" i="1"/>
  <c r="H12" i="1" s="1"/>
  <c r="N12" i="1" s="1"/>
  <c r="G117" i="1"/>
  <c r="H117" i="1" s="1"/>
  <c r="N117" i="1" s="1"/>
  <c r="G145" i="1"/>
  <c r="H145" i="1" s="1"/>
  <c r="N145" i="1" s="1"/>
  <c r="G28" i="1"/>
  <c r="H28" i="1" s="1"/>
  <c r="N28" i="1" s="1"/>
  <c r="G116" i="1"/>
  <c r="H116" i="1" s="1"/>
  <c r="N116" i="1" s="1"/>
  <c r="G115" i="1"/>
  <c r="H115" i="1" s="1"/>
  <c r="N115" i="1" s="1"/>
  <c r="G125" i="1"/>
  <c r="H125" i="1" s="1"/>
  <c r="N125" i="1" s="1"/>
  <c r="G118" i="1"/>
  <c r="H118" i="1" s="1"/>
  <c r="N118" i="1" s="1"/>
  <c r="G146" i="1"/>
  <c r="H146" i="1" s="1"/>
  <c r="N146" i="1" s="1"/>
  <c r="G94" i="1"/>
  <c r="H94" i="1" s="1"/>
  <c r="N94" i="1" s="1"/>
  <c r="G137" i="1"/>
  <c r="H137" i="1" s="1"/>
  <c r="N137" i="1" s="1"/>
  <c r="G69" i="1"/>
  <c r="H69" i="1" s="1"/>
  <c r="N69" i="1" s="1"/>
  <c r="G135" i="1"/>
  <c r="H135" i="1" s="1"/>
  <c r="N135" i="1" s="1"/>
  <c r="G122" i="1"/>
  <c r="H122" i="1" s="1"/>
  <c r="N122" i="1" s="1"/>
  <c r="G128" i="1"/>
  <c r="H128" i="1" s="1"/>
  <c r="N128" i="1" s="1"/>
  <c r="G138" i="1"/>
  <c r="H138" i="1" s="1"/>
  <c r="N138" i="1" s="1"/>
  <c r="G77" i="1"/>
  <c r="H77" i="1" s="1"/>
  <c r="N77" i="1" s="1"/>
  <c r="G150" i="1"/>
  <c r="H150" i="1" s="1"/>
  <c r="N150" i="1" s="1"/>
  <c r="G23" i="1"/>
  <c r="H23" i="1" s="1"/>
  <c r="N23" i="1" s="1"/>
  <c r="G32" i="1"/>
  <c r="H32" i="1" s="1"/>
  <c r="N32" i="1" s="1"/>
  <c r="G30" i="1"/>
  <c r="H30" i="1" s="1"/>
  <c r="N30" i="1" s="1"/>
  <c r="G136" i="1"/>
  <c r="H136" i="1" s="1"/>
  <c r="N136" i="1" s="1"/>
  <c r="G141" i="1"/>
  <c r="H141" i="1" s="1"/>
  <c r="N141" i="1" s="1"/>
  <c r="G75" i="1"/>
  <c r="H75" i="1" s="1"/>
  <c r="N75" i="1" s="1"/>
  <c r="G83" i="1"/>
  <c r="H83" i="1" s="1"/>
  <c r="N83" i="1" s="1"/>
  <c r="G10" i="1"/>
  <c r="H10" i="1" s="1"/>
  <c r="N10" i="1" s="1"/>
  <c r="G131" i="1"/>
  <c r="H131" i="1" s="1"/>
  <c r="N131" i="1" s="1"/>
  <c r="G134" i="1"/>
  <c r="H134" i="1" s="1"/>
  <c r="N134" i="1" s="1"/>
  <c r="G110" i="1"/>
  <c r="H110" i="1" s="1"/>
  <c r="N110" i="1" s="1"/>
  <c r="G79" i="1"/>
  <c r="H79" i="1" s="1"/>
  <c r="N79" i="1" s="1"/>
  <c r="G37" i="1"/>
  <c r="H37" i="1" s="1"/>
  <c r="N37" i="1" s="1"/>
  <c r="G49" i="1"/>
  <c r="H49" i="1" s="1"/>
  <c r="N49" i="1" s="1"/>
  <c r="G48" i="1"/>
  <c r="H48" i="1" s="1"/>
  <c r="N48" i="1" s="1"/>
  <c r="G56" i="1"/>
  <c r="H56" i="1" s="1"/>
  <c r="N56" i="1" s="1"/>
  <c r="G60" i="1"/>
  <c r="H60" i="1" s="1"/>
  <c r="N60" i="1" s="1"/>
  <c r="G58" i="1"/>
  <c r="H58" i="1" s="1"/>
  <c r="N58" i="1" s="1"/>
  <c r="G43" i="1"/>
  <c r="H43" i="1" s="1"/>
  <c r="N43" i="1" s="1"/>
  <c r="G44" i="1"/>
  <c r="H44" i="1" s="1"/>
  <c r="N44" i="1" s="1"/>
  <c r="G51" i="1"/>
  <c r="H51" i="1" s="1"/>
  <c r="N51" i="1" s="1"/>
  <c r="G7" i="1"/>
  <c r="H7" i="1" s="1"/>
  <c r="N7" i="1" s="1"/>
  <c r="G164" i="1"/>
  <c r="H164" i="1" s="1"/>
  <c r="N164" i="1" s="1"/>
  <c r="G62" i="1"/>
  <c r="H62" i="1" s="1"/>
  <c r="N62" i="1" s="1"/>
  <c r="G160" i="1"/>
  <c r="H160" i="1" s="1"/>
  <c r="N160" i="1" s="1"/>
  <c r="G38" i="1"/>
  <c r="H38" i="1" s="1"/>
  <c r="N38" i="1" s="1"/>
  <c r="G59" i="1"/>
  <c r="H59" i="1" s="1"/>
  <c r="N59" i="1" s="1"/>
  <c r="G41" i="1"/>
  <c r="H41" i="1" s="1"/>
  <c r="N41" i="1" s="1"/>
  <c r="G34" i="1"/>
  <c r="H34" i="1" s="1"/>
  <c r="N34" i="1" s="1"/>
  <c r="G52" i="1"/>
  <c r="H52" i="1" s="1"/>
  <c r="N52" i="1" s="1"/>
  <c r="G57" i="1"/>
  <c r="H57" i="1" s="1"/>
  <c r="N57" i="1" s="1"/>
  <c r="G35" i="1"/>
  <c r="H35" i="1" s="1"/>
  <c r="N35" i="1" s="1"/>
  <c r="G50" i="1"/>
  <c r="H50" i="1" s="1"/>
  <c r="N50" i="1" s="1"/>
  <c r="G46" i="1"/>
  <c r="H46" i="1" s="1"/>
  <c r="N46" i="1" s="1"/>
  <c r="G42" i="1"/>
  <c r="H42" i="1" s="1"/>
  <c r="N42" i="1" s="1"/>
  <c r="G36" i="1"/>
  <c r="H36" i="1" s="1"/>
  <c r="N36" i="1" s="1"/>
  <c r="G39" i="1"/>
  <c r="H39" i="1" s="1"/>
  <c r="N39" i="1" s="1"/>
  <c r="G54" i="1"/>
  <c r="H54" i="1" s="1"/>
  <c r="N54" i="1" s="1"/>
  <c r="G61" i="1"/>
  <c r="H61" i="1" s="1"/>
  <c r="N61" i="1" s="1"/>
  <c r="G154" i="1"/>
  <c r="H154" i="1" s="1"/>
  <c r="N154" i="1" s="1"/>
  <c r="G104" i="1"/>
  <c r="H104" i="1" s="1"/>
  <c r="N104" i="1" s="1"/>
  <c r="G55" i="1"/>
  <c r="H55" i="1" s="1"/>
  <c r="N55" i="1" s="1"/>
  <c r="G40" i="1"/>
  <c r="H40" i="1" s="1"/>
  <c r="N40" i="1" s="1"/>
  <c r="G47" i="1"/>
  <c r="H47" i="1" s="1"/>
  <c r="N47" i="1" s="1"/>
  <c r="G102" i="1"/>
  <c r="H102" i="1" s="1"/>
  <c r="N102" i="1" s="1"/>
  <c r="G33" i="1"/>
  <c r="H33" i="1" s="1"/>
  <c r="N33" i="1" s="1"/>
  <c r="I139" i="1" l="1"/>
  <c r="J139" i="1"/>
  <c r="K139" i="1"/>
  <c r="L139" i="1"/>
  <c r="I160" i="1"/>
  <c r="J160" i="1"/>
  <c r="L160" i="1"/>
  <c r="K160" i="1"/>
  <c r="I62" i="1"/>
  <c r="J62" i="1"/>
  <c r="K62" i="1"/>
  <c r="L62" i="1"/>
  <c r="I12" i="1"/>
  <c r="J12" i="1"/>
  <c r="K12" i="1"/>
  <c r="L12" i="1"/>
  <c r="I32" i="1"/>
  <c r="J32" i="1"/>
  <c r="K32" i="1"/>
  <c r="L32" i="1"/>
  <c r="I16" i="1"/>
  <c r="J16" i="1"/>
  <c r="K16" i="1"/>
  <c r="L16" i="1"/>
  <c r="I5" i="1"/>
  <c r="J5" i="1"/>
  <c r="K5" i="1"/>
  <c r="L5" i="1"/>
  <c r="I18" i="1"/>
  <c r="J18" i="1"/>
  <c r="K18" i="1"/>
  <c r="L18" i="1"/>
  <c r="I111" i="1"/>
  <c r="J111" i="1"/>
  <c r="K111" i="1"/>
  <c r="L111" i="1"/>
  <c r="I15" i="1"/>
  <c r="J15" i="1"/>
  <c r="K15" i="1"/>
  <c r="L15" i="1"/>
  <c r="I149" i="1"/>
  <c r="J149" i="1"/>
  <c r="K149" i="1"/>
  <c r="L149" i="1"/>
  <c r="I71" i="1"/>
  <c r="J71" i="1"/>
  <c r="K71" i="1"/>
  <c r="L71" i="1"/>
  <c r="I40" i="1"/>
  <c r="J40" i="1"/>
  <c r="K40" i="1"/>
  <c r="L40" i="1"/>
  <c r="I152" i="1"/>
  <c r="J152" i="1"/>
  <c r="K152" i="1"/>
  <c r="L152" i="1"/>
  <c r="I93" i="1"/>
  <c r="J93" i="1"/>
  <c r="K93" i="1"/>
  <c r="L93" i="1"/>
  <c r="I23" i="1"/>
  <c r="J23" i="1"/>
  <c r="K23" i="1"/>
  <c r="L23" i="1"/>
  <c r="I150" i="1"/>
  <c r="J150" i="1"/>
  <c r="L150" i="1"/>
  <c r="K150" i="1"/>
  <c r="I84" i="1"/>
  <c r="J84" i="1"/>
  <c r="K84" i="1"/>
  <c r="L84" i="1"/>
  <c r="I25" i="1"/>
  <c r="J25" i="1"/>
  <c r="K25" i="1"/>
  <c r="L25" i="1"/>
  <c r="I47" i="1"/>
  <c r="J47" i="1"/>
  <c r="K47" i="1"/>
  <c r="L47" i="1"/>
  <c r="I103" i="1"/>
  <c r="J103" i="1"/>
  <c r="K103" i="1"/>
  <c r="L103" i="1"/>
  <c r="I68" i="1"/>
  <c r="J68" i="1"/>
  <c r="K68" i="1"/>
  <c r="L68" i="1"/>
  <c r="I151" i="1"/>
  <c r="J151" i="1"/>
  <c r="K151" i="1"/>
  <c r="L151" i="1"/>
  <c r="I70" i="1"/>
  <c r="J70" i="1"/>
  <c r="L70" i="1"/>
  <c r="K70" i="1"/>
  <c r="I130" i="1"/>
  <c r="J130" i="1"/>
  <c r="L130" i="1"/>
  <c r="K130" i="1"/>
  <c r="I19" i="1"/>
  <c r="J19" i="1"/>
  <c r="K19" i="1"/>
  <c r="L19" i="1"/>
  <c r="I159" i="1"/>
  <c r="J159" i="1"/>
  <c r="K159" i="1"/>
  <c r="L159" i="1"/>
  <c r="I164" i="1"/>
  <c r="J164" i="1"/>
  <c r="K164" i="1"/>
  <c r="L164" i="1"/>
  <c r="I144" i="1"/>
  <c r="J144" i="1"/>
  <c r="K144" i="1"/>
  <c r="L144" i="1"/>
  <c r="I120" i="1"/>
  <c r="J120" i="1"/>
  <c r="L120" i="1"/>
  <c r="K120" i="1"/>
  <c r="I67" i="1"/>
  <c r="J67" i="1"/>
  <c r="K67" i="1"/>
  <c r="L67" i="1"/>
  <c r="I99" i="1"/>
  <c r="J99" i="1"/>
  <c r="K99" i="1"/>
  <c r="L99" i="1"/>
  <c r="I17" i="1"/>
  <c r="J17" i="1"/>
  <c r="K17" i="1"/>
  <c r="L17" i="1"/>
  <c r="I153" i="1"/>
  <c r="J153" i="1"/>
  <c r="K153" i="1"/>
  <c r="L153" i="1"/>
  <c r="I154" i="1"/>
  <c r="J154" i="1"/>
  <c r="K154" i="1"/>
  <c r="L154" i="1"/>
  <c r="I108" i="1"/>
  <c r="J108" i="1"/>
  <c r="K108" i="1"/>
  <c r="L108" i="1"/>
  <c r="I43" i="1"/>
  <c r="J43" i="1"/>
  <c r="K43" i="1"/>
  <c r="L43" i="1"/>
  <c r="I132" i="1"/>
  <c r="J132" i="1"/>
  <c r="K132" i="1"/>
  <c r="L132" i="1"/>
  <c r="I138" i="1"/>
  <c r="J138" i="1"/>
  <c r="K138" i="1"/>
  <c r="L138" i="1"/>
  <c r="I90" i="1"/>
  <c r="J90" i="1"/>
  <c r="L90" i="1"/>
  <c r="K90" i="1"/>
  <c r="I128" i="1"/>
  <c r="J128" i="1"/>
  <c r="K128" i="1"/>
  <c r="L128" i="1"/>
  <c r="I124" i="1"/>
  <c r="J124" i="1"/>
  <c r="K124" i="1"/>
  <c r="L124" i="1"/>
  <c r="I92" i="1"/>
  <c r="J92" i="1"/>
  <c r="K92" i="1"/>
  <c r="L92" i="1"/>
  <c r="I42" i="1"/>
  <c r="J42" i="1"/>
  <c r="K42" i="1"/>
  <c r="L42" i="1"/>
  <c r="I97" i="1"/>
  <c r="J97" i="1"/>
  <c r="K97" i="1"/>
  <c r="L97" i="1"/>
  <c r="I46" i="1"/>
  <c r="J46" i="1"/>
  <c r="K46" i="1"/>
  <c r="L46" i="1"/>
  <c r="I95" i="1"/>
  <c r="J95" i="1"/>
  <c r="L95" i="1"/>
  <c r="K95" i="1"/>
  <c r="I50" i="1"/>
  <c r="J50" i="1"/>
  <c r="K50" i="1"/>
  <c r="L50" i="1"/>
  <c r="I24" i="1"/>
  <c r="J24" i="1"/>
  <c r="K24" i="1"/>
  <c r="L24" i="1"/>
  <c r="I114" i="1"/>
  <c r="J114" i="1"/>
  <c r="K114" i="1"/>
  <c r="L114" i="1"/>
  <c r="I35" i="1"/>
  <c r="J35" i="1"/>
  <c r="K35" i="1"/>
  <c r="L35" i="1"/>
  <c r="I94" i="1"/>
  <c r="J94" i="1"/>
  <c r="K94" i="1"/>
  <c r="L94" i="1"/>
  <c r="I107" i="1"/>
  <c r="J107" i="1"/>
  <c r="K107" i="1"/>
  <c r="L107" i="1"/>
  <c r="I88" i="1"/>
  <c r="J88" i="1"/>
  <c r="K88" i="1"/>
  <c r="L88" i="1"/>
  <c r="I110" i="1"/>
  <c r="J110" i="1"/>
  <c r="L110" i="1"/>
  <c r="K110" i="1"/>
  <c r="I126" i="1"/>
  <c r="J126" i="1"/>
  <c r="K126" i="1"/>
  <c r="L126" i="1"/>
  <c r="I98" i="1"/>
  <c r="J98" i="1"/>
  <c r="K98" i="1"/>
  <c r="L98" i="1"/>
  <c r="I105" i="1"/>
  <c r="J105" i="1"/>
  <c r="L105" i="1"/>
  <c r="K105" i="1"/>
  <c r="I102" i="1"/>
  <c r="J102" i="1"/>
  <c r="K102" i="1"/>
  <c r="L102" i="1"/>
  <c r="I72" i="1"/>
  <c r="J72" i="1"/>
  <c r="K72" i="1"/>
  <c r="L72" i="1"/>
  <c r="I55" i="1"/>
  <c r="J55" i="1"/>
  <c r="K55" i="1"/>
  <c r="L55" i="1"/>
  <c r="I51" i="1"/>
  <c r="J51" i="1"/>
  <c r="K51" i="1"/>
  <c r="L51" i="1"/>
  <c r="I44" i="1"/>
  <c r="J44" i="1"/>
  <c r="K44" i="1"/>
  <c r="L44" i="1"/>
  <c r="I158" i="1"/>
  <c r="J158" i="1"/>
  <c r="K158" i="1"/>
  <c r="L158" i="1"/>
  <c r="I3" i="1"/>
  <c r="J3" i="1"/>
  <c r="K3" i="1"/>
  <c r="L3" i="1"/>
  <c r="I58" i="1"/>
  <c r="J58" i="1"/>
  <c r="K58" i="1"/>
  <c r="L58" i="1"/>
  <c r="I89" i="1"/>
  <c r="J89" i="1"/>
  <c r="K89" i="1"/>
  <c r="L89" i="1"/>
  <c r="I22" i="1"/>
  <c r="J22" i="1"/>
  <c r="K22" i="1"/>
  <c r="L22" i="1"/>
  <c r="I56" i="1"/>
  <c r="J56" i="1"/>
  <c r="K56" i="1"/>
  <c r="L56" i="1"/>
  <c r="I163" i="1"/>
  <c r="J163" i="1"/>
  <c r="K163" i="1"/>
  <c r="L163" i="1"/>
  <c r="I143" i="1"/>
  <c r="J143" i="1"/>
  <c r="K143" i="1"/>
  <c r="L143" i="1"/>
  <c r="I69" i="1"/>
  <c r="J69" i="1"/>
  <c r="K69" i="1"/>
  <c r="L69" i="1"/>
  <c r="I73" i="1"/>
  <c r="J73" i="1"/>
  <c r="K73" i="1"/>
  <c r="L73" i="1"/>
  <c r="I37" i="1"/>
  <c r="J37" i="1"/>
  <c r="K37" i="1"/>
  <c r="L37" i="1"/>
  <c r="I140" i="1"/>
  <c r="J140" i="1"/>
  <c r="L140" i="1"/>
  <c r="K140" i="1"/>
  <c r="I45" i="1"/>
  <c r="J45" i="1"/>
  <c r="K45" i="1"/>
  <c r="L45" i="1"/>
  <c r="I117" i="1"/>
  <c r="J117" i="1"/>
  <c r="K117" i="1"/>
  <c r="L117" i="1"/>
  <c r="I127" i="1"/>
  <c r="J127" i="1"/>
  <c r="K127" i="1"/>
  <c r="L127" i="1"/>
  <c r="I81" i="1"/>
  <c r="J81" i="1"/>
  <c r="K81" i="1"/>
  <c r="L81" i="1"/>
  <c r="I76" i="1"/>
  <c r="J76" i="1"/>
  <c r="K76" i="1"/>
  <c r="L76" i="1"/>
  <c r="I77" i="1"/>
  <c r="J77" i="1"/>
  <c r="K77" i="1"/>
  <c r="L77" i="1"/>
  <c r="I6" i="1"/>
  <c r="J6" i="1"/>
  <c r="K6" i="1"/>
  <c r="L6" i="1"/>
  <c r="I11" i="1"/>
  <c r="J11" i="1"/>
  <c r="K11" i="1"/>
  <c r="L11" i="1"/>
  <c r="I60" i="1"/>
  <c r="J60" i="1"/>
  <c r="K60" i="1"/>
  <c r="L60" i="1"/>
  <c r="I156" i="1"/>
  <c r="J156" i="1"/>
  <c r="K156" i="1"/>
  <c r="L156" i="1"/>
  <c r="I122" i="1"/>
  <c r="J122" i="1"/>
  <c r="K122" i="1"/>
  <c r="L122" i="1"/>
  <c r="I21" i="1"/>
  <c r="J21" i="1"/>
  <c r="K21" i="1"/>
  <c r="L21" i="1"/>
  <c r="I135" i="1"/>
  <c r="J135" i="1"/>
  <c r="L135" i="1"/>
  <c r="K135" i="1"/>
  <c r="I4" i="1"/>
  <c r="J4" i="1"/>
  <c r="K4" i="1"/>
  <c r="L4" i="1"/>
  <c r="I133" i="1"/>
  <c r="J133" i="1"/>
  <c r="K133" i="1"/>
  <c r="L133" i="1"/>
  <c r="I147" i="1"/>
  <c r="J147" i="1"/>
  <c r="K147" i="1"/>
  <c r="L147" i="1"/>
  <c r="I137" i="1"/>
  <c r="J137" i="1"/>
  <c r="K137" i="1"/>
  <c r="L137" i="1"/>
  <c r="I157" i="1"/>
  <c r="J157" i="1"/>
  <c r="K157" i="1"/>
  <c r="L157" i="1"/>
  <c r="I79" i="1"/>
  <c r="J79" i="1"/>
  <c r="K79" i="1"/>
  <c r="L79" i="1"/>
  <c r="I80" i="1"/>
  <c r="J80" i="1"/>
  <c r="L80" i="1"/>
  <c r="K80" i="1"/>
  <c r="I129" i="1"/>
  <c r="J129" i="1"/>
  <c r="K129" i="1"/>
  <c r="L129" i="1"/>
  <c r="I57" i="1"/>
  <c r="J57" i="1"/>
  <c r="K57" i="1"/>
  <c r="L57" i="1"/>
  <c r="I146" i="1"/>
  <c r="J146" i="1"/>
  <c r="K146" i="1"/>
  <c r="L146" i="1"/>
  <c r="I78" i="1"/>
  <c r="J78" i="1"/>
  <c r="K78" i="1"/>
  <c r="L78" i="1"/>
  <c r="I161" i="1"/>
  <c r="J161" i="1"/>
  <c r="K161" i="1"/>
  <c r="L161" i="1"/>
  <c r="I52" i="1"/>
  <c r="J52" i="1"/>
  <c r="K52" i="1"/>
  <c r="L52" i="1"/>
  <c r="I134" i="1"/>
  <c r="J134" i="1"/>
  <c r="K134" i="1"/>
  <c r="L134" i="1"/>
  <c r="I118" i="1"/>
  <c r="J118" i="1"/>
  <c r="K118" i="1"/>
  <c r="L118" i="1"/>
  <c r="I13" i="1"/>
  <c r="J13" i="1"/>
  <c r="K13" i="1"/>
  <c r="L13" i="1"/>
  <c r="I14" i="1"/>
  <c r="J14" i="1"/>
  <c r="K14" i="1"/>
  <c r="L14" i="1"/>
  <c r="I82" i="1"/>
  <c r="J82" i="1"/>
  <c r="K82" i="1"/>
  <c r="L82" i="1"/>
  <c r="I96" i="1"/>
  <c r="J96" i="1"/>
  <c r="K96" i="1"/>
  <c r="L96" i="1"/>
  <c r="I34" i="1"/>
  <c r="J34" i="1"/>
  <c r="K34" i="1"/>
  <c r="L34" i="1"/>
  <c r="I131" i="1"/>
  <c r="J131" i="1"/>
  <c r="K131" i="1"/>
  <c r="L131" i="1"/>
  <c r="L125" i="1"/>
  <c r="I125" i="1"/>
  <c r="J125" i="1"/>
  <c r="K125" i="1"/>
  <c r="I9" i="1"/>
  <c r="J9" i="1"/>
  <c r="K9" i="1"/>
  <c r="L9" i="1"/>
  <c r="I29" i="1"/>
  <c r="J29" i="1"/>
  <c r="K29" i="1"/>
  <c r="L29" i="1"/>
  <c r="I109" i="1"/>
  <c r="J109" i="1"/>
  <c r="K109" i="1"/>
  <c r="L109" i="1"/>
  <c r="I123" i="1"/>
  <c r="J123" i="1"/>
  <c r="K123" i="1"/>
  <c r="L123" i="1"/>
  <c r="I53" i="1"/>
  <c r="J53" i="1"/>
  <c r="K53" i="1"/>
  <c r="L53" i="1"/>
  <c r="I106" i="1"/>
  <c r="J106" i="1"/>
  <c r="K106" i="1"/>
  <c r="L106" i="1"/>
  <c r="I30" i="1"/>
  <c r="J30" i="1"/>
  <c r="K30" i="1"/>
  <c r="L30" i="1"/>
  <c r="I66" i="1"/>
  <c r="J66" i="1"/>
  <c r="K66" i="1"/>
  <c r="L66" i="1"/>
  <c r="I65" i="1"/>
  <c r="J65" i="1"/>
  <c r="K65" i="1"/>
  <c r="L65" i="1"/>
  <c r="I141" i="1"/>
  <c r="J141" i="1"/>
  <c r="K141" i="1"/>
  <c r="L141" i="1"/>
  <c r="I142" i="1"/>
  <c r="J142" i="1"/>
  <c r="K142" i="1"/>
  <c r="L142" i="1"/>
  <c r="I7" i="1"/>
  <c r="J7" i="1"/>
  <c r="K7" i="1"/>
  <c r="L7" i="1"/>
  <c r="I104" i="1"/>
  <c r="J104" i="1"/>
  <c r="K104" i="1"/>
  <c r="L104" i="1"/>
  <c r="I162" i="1"/>
  <c r="J162" i="1"/>
  <c r="K162" i="1"/>
  <c r="L162" i="1"/>
  <c r="I61" i="1"/>
  <c r="J61" i="1"/>
  <c r="K61" i="1"/>
  <c r="L61" i="1"/>
  <c r="I74" i="1"/>
  <c r="J74" i="1"/>
  <c r="K74" i="1"/>
  <c r="L74" i="1"/>
  <c r="I54" i="1"/>
  <c r="J54" i="1"/>
  <c r="K54" i="1"/>
  <c r="L54" i="1"/>
  <c r="I112" i="1"/>
  <c r="J112" i="1"/>
  <c r="K112" i="1"/>
  <c r="L112" i="1"/>
  <c r="I39" i="1"/>
  <c r="J39" i="1"/>
  <c r="K39" i="1"/>
  <c r="L39" i="1"/>
  <c r="I100" i="1"/>
  <c r="J100" i="1"/>
  <c r="L100" i="1"/>
  <c r="K100" i="1"/>
  <c r="I36" i="1"/>
  <c r="J36" i="1"/>
  <c r="K36" i="1"/>
  <c r="L36" i="1"/>
  <c r="I91" i="1"/>
  <c r="J91" i="1"/>
  <c r="K91" i="1"/>
  <c r="L91" i="1"/>
  <c r="I48" i="1"/>
  <c r="J48" i="1"/>
  <c r="K48" i="1"/>
  <c r="L48" i="1"/>
  <c r="L155" i="1"/>
  <c r="I155" i="1"/>
  <c r="J155" i="1"/>
  <c r="K155" i="1"/>
  <c r="I49" i="1"/>
  <c r="J49" i="1"/>
  <c r="K49" i="1"/>
  <c r="L49" i="1"/>
  <c r="I41" i="1"/>
  <c r="J41" i="1"/>
  <c r="K41" i="1"/>
  <c r="L41" i="1"/>
  <c r="I10" i="1"/>
  <c r="J10" i="1"/>
  <c r="K10" i="1"/>
  <c r="L10" i="1"/>
  <c r="I115" i="1"/>
  <c r="J115" i="1"/>
  <c r="L115" i="1"/>
  <c r="K115" i="1"/>
  <c r="I8" i="1"/>
  <c r="J8" i="1"/>
  <c r="K8" i="1"/>
  <c r="L8" i="1"/>
  <c r="I113" i="1"/>
  <c r="J113" i="1"/>
  <c r="K113" i="1"/>
  <c r="L113" i="1"/>
  <c r="I26" i="1"/>
  <c r="J26" i="1"/>
  <c r="K26" i="1"/>
  <c r="L26" i="1"/>
  <c r="I20" i="1"/>
  <c r="J20" i="1"/>
  <c r="K20" i="1"/>
  <c r="L20" i="1"/>
  <c r="I59" i="1"/>
  <c r="J59" i="1"/>
  <c r="K59" i="1"/>
  <c r="L59" i="1"/>
  <c r="I83" i="1"/>
  <c r="J83" i="1"/>
  <c r="K83" i="1"/>
  <c r="L83" i="1"/>
  <c r="I116" i="1"/>
  <c r="J116" i="1"/>
  <c r="K116" i="1"/>
  <c r="L116" i="1"/>
  <c r="I31" i="1"/>
  <c r="J31" i="1"/>
  <c r="K31" i="1"/>
  <c r="L31" i="1"/>
  <c r="I121" i="1"/>
  <c r="J121" i="1"/>
  <c r="K121" i="1"/>
  <c r="L121" i="1"/>
  <c r="I148" i="1"/>
  <c r="J148" i="1"/>
  <c r="K148" i="1"/>
  <c r="L148" i="1"/>
  <c r="I85" i="1"/>
  <c r="J85" i="1"/>
  <c r="L85" i="1"/>
  <c r="K85" i="1"/>
  <c r="I33" i="1"/>
  <c r="J33" i="1"/>
  <c r="K33" i="1"/>
  <c r="L33" i="1"/>
  <c r="I38" i="1"/>
  <c r="J38" i="1"/>
  <c r="K38" i="1"/>
  <c r="L38" i="1"/>
  <c r="I75" i="1"/>
  <c r="J75" i="1"/>
  <c r="L75" i="1"/>
  <c r="K75" i="1"/>
  <c r="I28" i="1"/>
  <c r="J28" i="1"/>
  <c r="K28" i="1"/>
  <c r="L28" i="1"/>
  <c r="I27" i="1"/>
  <c r="J27" i="1"/>
  <c r="K27" i="1"/>
  <c r="L27" i="1"/>
  <c r="I119" i="1"/>
  <c r="J119" i="1"/>
  <c r="K119" i="1"/>
  <c r="L119" i="1"/>
  <c r="I101" i="1"/>
  <c r="J101" i="1"/>
  <c r="K101" i="1"/>
  <c r="L101" i="1"/>
  <c r="I86" i="1"/>
  <c r="J86" i="1"/>
  <c r="K86" i="1"/>
  <c r="L86" i="1"/>
  <c r="I63" i="1"/>
  <c r="J63" i="1"/>
  <c r="K63" i="1"/>
  <c r="L63" i="1"/>
  <c r="I145" i="1"/>
  <c r="J145" i="1"/>
  <c r="L145" i="1"/>
  <c r="K145" i="1"/>
  <c r="I136" i="1"/>
  <c r="J136" i="1"/>
  <c r="K136" i="1"/>
  <c r="L136" i="1"/>
  <c r="L2" i="1"/>
  <c r="K2" i="1"/>
  <c r="I2" i="1"/>
  <c r="J2" i="1"/>
  <c r="I87" i="1"/>
  <c r="J87" i="1"/>
  <c r="K87" i="1"/>
  <c r="L87" i="1"/>
  <c r="I64" i="1"/>
  <c r="J64" i="1"/>
  <c r="K64" i="1"/>
  <c r="L6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C40DAB-DD4F-44C4-8D23-D9751DD48236}" keepAlive="1" name="Consulta - AREAS" description="Conexão com a consulta 'AREAS' na pasta de trabalho." type="5" refreshedVersion="8" background="1" saveData="1">
    <dbPr connection="Provider=Microsoft.Mashup.OleDb.1;Data Source=$Workbook$;Location=AREAS;Extended Properties=&quot;&quot;" command="SELECT * FROM [AREAS]"/>
  </connection>
  <connection id="2" xr16:uid="{F13197C5-FC8B-48E3-A4A8-7D89D435EA5E}" keepAlive="1" name="Consulta - TABELA PRECOS" description="Conexão com a consulta 'TABELA PRECOS' na pasta de trabalho." type="5" refreshedVersion="8" background="1" saveData="1">
    <dbPr connection="Provider=Microsoft.Mashup.OleDb.1;Data Source=$Workbook$;Location=&quot;TABELA PRECOS&quot;;Extended Properties=&quot;&quot;" command="SELECT * FROM [TABELA PRECOS]"/>
  </connection>
  <connection id="3" xr16:uid="{98FE642E-76AB-4D8B-A5D4-DD410D2E98FD}" keepAlive="1" name="Consulta - TabelaPrecosImpressao" description="Conexão com a consulta 'TabelaPrecosImpressao' na pasta de trabalho." type="5" refreshedVersion="0" background="1">
    <dbPr connection="Provider=Microsoft.Mashup.OleDb.1;Data Source=$Workbook$;Location=TabelaPrecosImpressao;Extended Properties=&quot;&quot;" command="SELECT * FROM [TabelaPrecosImpressao]"/>
  </connection>
  <connection id="4" xr16:uid="{FA6F3BC5-4787-4E83-9790-8ACF898B0E7B}" keepAlive="1" name="Consulta - TabelaPrecosImpressaoA" description="Conexão com a consulta 'TabelaPrecosImpressaoA' na pasta de trabalho." type="5" refreshedVersion="8" background="1" saveData="1">
    <dbPr connection="Provider=Microsoft.Mashup.OleDb.1;Data Source=$Workbook$;Location=TabelaPrecosImpressaoA;Extended Properties=&quot;&quot;" command="SELECT * FROM [TabelaPrecosImpressaoA]"/>
  </connection>
  <connection id="5" xr16:uid="{EB50BB8D-3C2B-4D53-BF31-0658358C7E79}" keepAlive="1" name="Consulta - TabelaPrecosImpressaoB" description="Conexão com a consulta 'TabelaPrecosImpressaoB' na pasta de trabalho." type="5" refreshedVersion="8" background="1" saveData="1">
    <dbPr connection="Provider=Microsoft.Mashup.OleDb.1;Data Source=$Workbook$;Location=TabelaPrecosImpressaoB;Extended Properties=&quot;&quot;" command="SELECT * FROM [TabelaPrecosImpressaoB]"/>
  </connection>
</connections>
</file>

<file path=xl/sharedStrings.xml><?xml version="1.0" encoding="utf-8"?>
<sst xmlns="http://schemas.openxmlformats.org/spreadsheetml/2006/main" count="2007" uniqueCount="399">
  <si>
    <t>VGV</t>
  </si>
  <si>
    <t>SUL</t>
  </si>
  <si>
    <t>REFERÊNCIA</t>
  </si>
  <si>
    <t>NORTE</t>
  </si>
  <si>
    <t>UNIDADE</t>
  </si>
  <si>
    <t>PAVIMENTO</t>
  </si>
  <si>
    <t>TORRE</t>
  </si>
  <si>
    <t>UNIDADE TIPO</t>
  </si>
  <si>
    <t>AREA PADRAO</t>
  </si>
  <si>
    <t>AREA TECNICA</t>
  </si>
  <si>
    <t>AREA TERRACO</t>
  </si>
  <si>
    <t>101 NORTE</t>
  </si>
  <si>
    <t>PAVIMENTO 01</t>
  </si>
  <si>
    <t>102 NORTE</t>
  </si>
  <si>
    <t>103 NORTE</t>
  </si>
  <si>
    <t>104 NORTE</t>
  </si>
  <si>
    <t>105 NORTE</t>
  </si>
  <si>
    <t>106 NORTE</t>
  </si>
  <si>
    <t>109 NORTE</t>
  </si>
  <si>
    <t>201 NORTE</t>
  </si>
  <si>
    <t>PAVIMENTO 02</t>
  </si>
  <si>
    <t>202 NORTE</t>
  </si>
  <si>
    <t>203 NORTE</t>
  </si>
  <si>
    <t>204 NORTE</t>
  </si>
  <si>
    <t>205 NORTE</t>
  </si>
  <si>
    <t>206 NORTE</t>
  </si>
  <si>
    <t>207 NORTE</t>
  </si>
  <si>
    <t>208 NORTE</t>
  </si>
  <si>
    <t>209 NORTE</t>
  </si>
  <si>
    <t>301 NORTE</t>
  </si>
  <si>
    <t>PAVIMENTO 03</t>
  </si>
  <si>
    <t>302 NORTE</t>
  </si>
  <si>
    <t>303 NORTE</t>
  </si>
  <si>
    <t>304 NORTE</t>
  </si>
  <si>
    <t>305 NORTE</t>
  </si>
  <si>
    <t>306 NORTE</t>
  </si>
  <si>
    <t>307 NORTE</t>
  </si>
  <si>
    <t>308 NORTE</t>
  </si>
  <si>
    <t>309 NORTE</t>
  </si>
  <si>
    <t>401 NORTE</t>
  </si>
  <si>
    <t>PAVIMENTO 04</t>
  </si>
  <si>
    <t>402 NORTE</t>
  </si>
  <si>
    <t>403 NORTE</t>
  </si>
  <si>
    <t>404 NORTE</t>
  </si>
  <si>
    <t>405 NORTE</t>
  </si>
  <si>
    <t>406 NORTE</t>
  </si>
  <si>
    <t>407 NORTE</t>
  </si>
  <si>
    <t>408 NORTE</t>
  </si>
  <si>
    <t>409 NORTE</t>
  </si>
  <si>
    <t>501 NORTE</t>
  </si>
  <si>
    <t>PAVIMENTO 05</t>
  </si>
  <si>
    <t>502 NORTE</t>
  </si>
  <si>
    <t>503 NORTE</t>
  </si>
  <si>
    <t>504 NORTE</t>
  </si>
  <si>
    <t>505 NORTE</t>
  </si>
  <si>
    <t>506 NORTE</t>
  </si>
  <si>
    <t>507 NORTE</t>
  </si>
  <si>
    <t>508 NORTE</t>
  </si>
  <si>
    <t>509 NORTE</t>
  </si>
  <si>
    <t>601 NORTE</t>
  </si>
  <si>
    <t>PAVIMENTO 06</t>
  </si>
  <si>
    <t>602 NORTE</t>
  </si>
  <si>
    <t>603 NORTE</t>
  </si>
  <si>
    <t>604 NORTE</t>
  </si>
  <si>
    <t>605 NORTE</t>
  </si>
  <si>
    <t>606 NORTE</t>
  </si>
  <si>
    <t>607 NORTE</t>
  </si>
  <si>
    <t>608 NORTE</t>
  </si>
  <si>
    <t>609 NORTE</t>
  </si>
  <si>
    <t>701 NORTE</t>
  </si>
  <si>
    <t>PAVIMENTO 07</t>
  </si>
  <si>
    <t>702 NORTE</t>
  </si>
  <si>
    <t>703 NORTE</t>
  </si>
  <si>
    <t>704 NORTE</t>
  </si>
  <si>
    <t>705 NORTE</t>
  </si>
  <si>
    <t>706 NORTE</t>
  </si>
  <si>
    <t>707 NORTE</t>
  </si>
  <si>
    <t>708 NORTE</t>
  </si>
  <si>
    <t>709 NORTE</t>
  </si>
  <si>
    <t>801 NORTE</t>
  </si>
  <si>
    <t>PAVIMENTO 08</t>
  </si>
  <si>
    <t>802 NORTE</t>
  </si>
  <si>
    <t>803 NORTE</t>
  </si>
  <si>
    <t>804 NORTE</t>
  </si>
  <si>
    <t>805 NORTE</t>
  </si>
  <si>
    <t>806 NORTE</t>
  </si>
  <si>
    <t>807 NORTE</t>
  </si>
  <si>
    <t>808 NORTE</t>
  </si>
  <si>
    <t>809 NORTE</t>
  </si>
  <si>
    <t>901 NORTE</t>
  </si>
  <si>
    <t>PAVIMENTO 09</t>
  </si>
  <si>
    <t>902 NORTE</t>
  </si>
  <si>
    <t>903 NORTE</t>
  </si>
  <si>
    <t>904 NORTE</t>
  </si>
  <si>
    <t>905 NORTE</t>
  </si>
  <si>
    <t>906 NORTE</t>
  </si>
  <si>
    <t>907 NORTE</t>
  </si>
  <si>
    <t>908 NORTE</t>
  </si>
  <si>
    <t>909 NORTE</t>
  </si>
  <si>
    <t>1001 NORTE</t>
  </si>
  <si>
    <t>PAVIMENTO 10</t>
  </si>
  <si>
    <t>1002 NORTE</t>
  </si>
  <si>
    <t>1003 NORTE</t>
  </si>
  <si>
    <t>1004 NORTE</t>
  </si>
  <si>
    <t>1005 NORTE</t>
  </si>
  <si>
    <t>1006 NORTE</t>
  </si>
  <si>
    <t>1007 NORTE</t>
  </si>
  <si>
    <t>1008 NORTE</t>
  </si>
  <si>
    <t>1009 NORTE</t>
  </si>
  <si>
    <t>1101 NORTE</t>
  </si>
  <si>
    <t>PAVIMENTO 11</t>
  </si>
  <si>
    <t>1102 NORTE</t>
  </si>
  <si>
    <t>1103 NORTE</t>
  </si>
  <si>
    <t>1104 NORTE</t>
  </si>
  <si>
    <t>1105 NORTE</t>
  </si>
  <si>
    <t>1106 NORTE</t>
  </si>
  <si>
    <t>1107 NORTE</t>
  </si>
  <si>
    <t>1108 NORTE</t>
  </si>
  <si>
    <t>1109 NORTE</t>
  </si>
  <si>
    <t>101 SUL</t>
  </si>
  <si>
    <t>102 SUL</t>
  </si>
  <si>
    <t>103 SUL</t>
  </si>
  <si>
    <t>104 SUL</t>
  </si>
  <si>
    <t>105 SUL</t>
  </si>
  <si>
    <t>106 SUL</t>
  </si>
  <si>
    <t>201 SUL</t>
  </si>
  <si>
    <t>202 SUL</t>
  </si>
  <si>
    <t>203 SUL</t>
  </si>
  <si>
    <t>204 SUL</t>
  </si>
  <si>
    <t>205 SUL</t>
  </si>
  <si>
    <t>206 SUL</t>
  </si>
  <si>
    <t>301 SUL</t>
  </si>
  <si>
    <t>302 SUL</t>
  </si>
  <si>
    <t>303 SUL</t>
  </si>
  <si>
    <t>304 SUL</t>
  </si>
  <si>
    <t>305 SUL</t>
  </si>
  <si>
    <t>306 SUL</t>
  </si>
  <si>
    <t>401 SUL</t>
  </si>
  <si>
    <t>402 SUL</t>
  </si>
  <si>
    <t>403 SUL</t>
  </si>
  <si>
    <t>404 SUL</t>
  </si>
  <si>
    <t>405 SUL</t>
  </si>
  <si>
    <t>406 SUL</t>
  </si>
  <si>
    <t>501 SUL</t>
  </si>
  <si>
    <t>502 SUL</t>
  </si>
  <si>
    <t>503 SUL</t>
  </si>
  <si>
    <t>504 SUL</t>
  </si>
  <si>
    <t>505 SUL</t>
  </si>
  <si>
    <t>506 SUL</t>
  </si>
  <si>
    <t>601 SUL</t>
  </si>
  <si>
    <t>602 SUL</t>
  </si>
  <si>
    <t>603 SUL</t>
  </si>
  <si>
    <t>604 SUL</t>
  </si>
  <si>
    <t>605 SUL</t>
  </si>
  <si>
    <t>606 SUL</t>
  </si>
  <si>
    <t>701 SUL</t>
  </si>
  <si>
    <t>702 SUL</t>
  </si>
  <si>
    <t>703 SUL</t>
  </si>
  <si>
    <t>704 SUL</t>
  </si>
  <si>
    <t>705 SUL</t>
  </si>
  <si>
    <t>706 SUL</t>
  </si>
  <si>
    <t>801 SUL</t>
  </si>
  <si>
    <t>802 SUL</t>
  </si>
  <si>
    <t>803 SUL</t>
  </si>
  <si>
    <t>804 SUL</t>
  </si>
  <si>
    <t>805 SUL</t>
  </si>
  <si>
    <t>806 SUL</t>
  </si>
  <si>
    <t>901 SUL</t>
  </si>
  <si>
    <t>902 SUL</t>
  </si>
  <si>
    <t>903 SUL</t>
  </si>
  <si>
    <t>904 SUL</t>
  </si>
  <si>
    <t>905 SUL</t>
  </si>
  <si>
    <t>906 SUL</t>
  </si>
  <si>
    <t>1001 SUL</t>
  </si>
  <si>
    <t>1002 SUL</t>
  </si>
  <si>
    <t>1003 SUL</t>
  </si>
  <si>
    <t>1004 SUL</t>
  </si>
  <si>
    <t>1005 SUL</t>
  </si>
  <si>
    <t>1006 SUL</t>
  </si>
  <si>
    <t>1101 SUL</t>
  </si>
  <si>
    <t>1102 SUL</t>
  </si>
  <si>
    <t>1103 SUL</t>
  </si>
  <si>
    <t>1104 SUL</t>
  </si>
  <si>
    <t>1105 SUL</t>
  </si>
  <si>
    <t>1106 SUL</t>
  </si>
  <si>
    <t>FRACAO VGV</t>
  </si>
  <si>
    <t>PREÇO</t>
  </si>
  <si>
    <t>COLUNA</t>
  </si>
  <si>
    <t>NASCENTE</t>
  </si>
  <si>
    <t>POENTE</t>
  </si>
  <si>
    <t>INTERNO</t>
  </si>
  <si>
    <t>EXTERNO</t>
  </si>
  <si>
    <t>PREÇO/M²</t>
  </si>
  <si>
    <t>AREA TERRAÇO</t>
  </si>
  <si>
    <t>AREA CALCULO DE PRECO</t>
  </si>
  <si>
    <t>501 A</t>
  </si>
  <si>
    <t>502 A</t>
  </si>
  <si>
    <t>503 A</t>
  </si>
  <si>
    <t>504 A</t>
  </si>
  <si>
    <t>505 A</t>
  </si>
  <si>
    <t>506 A</t>
  </si>
  <si>
    <t>601 A</t>
  </si>
  <si>
    <t>602 A</t>
  </si>
  <si>
    <t>603 A</t>
  </si>
  <si>
    <t>101 B</t>
  </si>
  <si>
    <t>102 B</t>
  </si>
  <si>
    <t>103 B</t>
  </si>
  <si>
    <t>104 B</t>
  </si>
  <si>
    <t>105 B</t>
  </si>
  <si>
    <t>106 B</t>
  </si>
  <si>
    <t>803 B</t>
  </si>
  <si>
    <t>804 B</t>
  </si>
  <si>
    <t>805 B</t>
  </si>
  <si>
    <t>806 B</t>
  </si>
  <si>
    <t>901 B</t>
  </si>
  <si>
    <t>902 B</t>
  </si>
  <si>
    <t>903 B</t>
  </si>
  <si>
    <t>904 B</t>
  </si>
  <si>
    <t>905 B</t>
  </si>
  <si>
    <t>906 B</t>
  </si>
  <si>
    <t>202 B</t>
  </si>
  <si>
    <t>201 B</t>
  </si>
  <si>
    <t>306 A</t>
  </si>
  <si>
    <t>305 A</t>
  </si>
  <si>
    <t>304 A</t>
  </si>
  <si>
    <t>303 A</t>
  </si>
  <si>
    <t>302 A</t>
  </si>
  <si>
    <t>301 A</t>
  </si>
  <si>
    <t>201 A</t>
  </si>
  <si>
    <t>202 A</t>
  </si>
  <si>
    <t>203 A</t>
  </si>
  <si>
    <t>204 A</t>
  </si>
  <si>
    <t>205 A</t>
  </si>
  <si>
    <t>206 A</t>
  </si>
  <si>
    <t>604 A</t>
  </si>
  <si>
    <t>605 A</t>
  </si>
  <si>
    <t>606 A</t>
  </si>
  <si>
    <t>203 B</t>
  </si>
  <si>
    <t>204 B</t>
  </si>
  <si>
    <t>205 B</t>
  </si>
  <si>
    <t>206 B</t>
  </si>
  <si>
    <t>301 B</t>
  </si>
  <si>
    <t>302 B</t>
  </si>
  <si>
    <t>303 B</t>
  </si>
  <si>
    <t>304 B</t>
  </si>
  <si>
    <t>106 A</t>
  </si>
  <si>
    <t>105 A</t>
  </si>
  <si>
    <t>104 A</t>
  </si>
  <si>
    <t>103 A</t>
  </si>
  <si>
    <t>102 A</t>
  </si>
  <si>
    <t>101 A</t>
  </si>
  <si>
    <t>605 B</t>
  </si>
  <si>
    <t>606 B</t>
  </si>
  <si>
    <t>305 B</t>
  </si>
  <si>
    <t>306 B</t>
  </si>
  <si>
    <t>401 B</t>
  </si>
  <si>
    <t>402 B</t>
  </si>
  <si>
    <t>403 B</t>
  </si>
  <si>
    <t>404 B</t>
  </si>
  <si>
    <t>405 B</t>
  </si>
  <si>
    <t>406 B</t>
  </si>
  <si>
    <t>501 B</t>
  </si>
  <si>
    <t>502 B</t>
  </si>
  <si>
    <t>503 B</t>
  </si>
  <si>
    <t>802 B</t>
  </si>
  <si>
    <t>702 B</t>
  </si>
  <si>
    <t>703 B</t>
  </si>
  <si>
    <t>704 B</t>
  </si>
  <si>
    <t>705 B</t>
  </si>
  <si>
    <t>706 B</t>
  </si>
  <si>
    <t>504 B</t>
  </si>
  <si>
    <t>505 B</t>
  </si>
  <si>
    <t>506 B</t>
  </si>
  <si>
    <t>604 B</t>
  </si>
  <si>
    <t>603 B</t>
  </si>
  <si>
    <t>602 B</t>
  </si>
  <si>
    <t>601 B</t>
  </si>
  <si>
    <t>406 A</t>
  </si>
  <si>
    <t>405 A</t>
  </si>
  <si>
    <t>404 A</t>
  </si>
  <si>
    <t>403 A</t>
  </si>
  <si>
    <t>402 A</t>
  </si>
  <si>
    <t>401 A</t>
  </si>
  <si>
    <t>705 A</t>
  </si>
  <si>
    <t>1103 A</t>
  </si>
  <si>
    <t>701 B</t>
  </si>
  <si>
    <t>801 B</t>
  </si>
  <si>
    <t>1101 B</t>
  </si>
  <si>
    <t>1001 B</t>
  </si>
  <si>
    <t>1003 A</t>
  </si>
  <si>
    <t>903 A</t>
  </si>
  <si>
    <t>803 A</t>
  </si>
  <si>
    <t>703 A</t>
  </si>
  <si>
    <t>702 A</t>
  </si>
  <si>
    <t>802 A</t>
  </si>
  <si>
    <t>902 A</t>
  </si>
  <si>
    <t>1002 A</t>
  </si>
  <si>
    <t>1102 A</t>
  </si>
  <si>
    <t>706 A</t>
  </si>
  <si>
    <t>1102 B</t>
  </si>
  <si>
    <t>1002 B</t>
  </si>
  <si>
    <t>1106 A</t>
  </si>
  <si>
    <t>1006 A</t>
  </si>
  <si>
    <t>906 A</t>
  </si>
  <si>
    <t>806 A</t>
  </si>
  <si>
    <t>1101 A</t>
  </si>
  <si>
    <t>1001 A</t>
  </si>
  <si>
    <t>901 A</t>
  </si>
  <si>
    <t>801 A</t>
  </si>
  <si>
    <t>701 A</t>
  </si>
  <si>
    <t>805 A</t>
  </si>
  <si>
    <t>905 A</t>
  </si>
  <si>
    <t>1005 A</t>
  </si>
  <si>
    <t>1105 A</t>
  </si>
  <si>
    <t>1003 B</t>
  </si>
  <si>
    <t>1103 B</t>
  </si>
  <si>
    <t>1006 B</t>
  </si>
  <si>
    <t>1106 B</t>
  </si>
  <si>
    <t>1005 B</t>
  </si>
  <si>
    <t>1105 B</t>
  </si>
  <si>
    <t>1104 B</t>
  </si>
  <si>
    <t>1004 B</t>
  </si>
  <si>
    <t>1104 A</t>
  </si>
  <si>
    <t>1004 A</t>
  </si>
  <si>
    <t>904 A</t>
  </si>
  <si>
    <t>804 A</t>
  </si>
  <si>
    <t>704 A</t>
  </si>
  <si>
    <t>POSICAO NASCENTE/POENTE</t>
  </si>
  <si>
    <t>POSICAO NORTE/SUL</t>
  </si>
  <si>
    <t>POSICAO INTERNO/EXTERNO</t>
  </si>
  <si>
    <t>109 A</t>
  </si>
  <si>
    <t>207 A</t>
  </si>
  <si>
    <t>208 A</t>
  </si>
  <si>
    <t>209 A</t>
  </si>
  <si>
    <t>307 A</t>
  </si>
  <si>
    <t>308 A</t>
  </si>
  <si>
    <t>309 A</t>
  </si>
  <si>
    <t>407 A</t>
  </si>
  <si>
    <t>408 A</t>
  </si>
  <si>
    <t>409 A</t>
  </si>
  <si>
    <t>507 A</t>
  </si>
  <si>
    <t>508 A</t>
  </si>
  <si>
    <t>509 A</t>
  </si>
  <si>
    <t>607 A</t>
  </si>
  <si>
    <t>608 A</t>
  </si>
  <si>
    <t>609 A</t>
  </si>
  <si>
    <t>707 A</t>
  </si>
  <si>
    <t>708 A</t>
  </si>
  <si>
    <t>709 A</t>
  </si>
  <si>
    <t>807 A</t>
  </si>
  <si>
    <t>808 A</t>
  </si>
  <si>
    <t>809 A</t>
  </si>
  <si>
    <t>907 A</t>
  </si>
  <si>
    <t>908 A</t>
  </si>
  <si>
    <t>909 A</t>
  </si>
  <si>
    <t>1007 A</t>
  </si>
  <si>
    <t>1008 A</t>
  </si>
  <si>
    <t>1009 A</t>
  </si>
  <si>
    <t>1107 A</t>
  </si>
  <si>
    <t>1108 A</t>
  </si>
  <si>
    <t>1109 A</t>
  </si>
  <si>
    <t>A</t>
  </si>
  <si>
    <t>B</t>
  </si>
  <si>
    <t>POSIÇÃO</t>
  </si>
  <si>
    <t>01 A</t>
  </si>
  <si>
    <t>01 B</t>
  </si>
  <si>
    <t>02 A</t>
  </si>
  <si>
    <t>02 B</t>
  </si>
  <si>
    <t>03 A</t>
  </si>
  <si>
    <t>03 B</t>
  </si>
  <si>
    <t>04 A</t>
  </si>
  <si>
    <t>04 B</t>
  </si>
  <si>
    <t>05 A</t>
  </si>
  <si>
    <t>05 B</t>
  </si>
  <si>
    <t>06 A</t>
  </si>
  <si>
    <t>06 B</t>
  </si>
  <si>
    <t>07 A</t>
  </si>
  <si>
    <t>08 A</t>
  </si>
  <si>
    <t>09 A</t>
  </si>
  <si>
    <t>SINAL (10%)</t>
  </si>
  <si>
    <t>CHAVES (45%)</t>
  </si>
  <si>
    <t>SUITES</t>
  </si>
  <si>
    <t>NUMERO UNIDADE</t>
  </si>
  <si>
    <t>QUARTOS</t>
  </si>
  <si>
    <t>MENSAIS 52X (25%)</t>
  </si>
  <si>
    <t>SEMESTRAIS 7X (20%)</t>
  </si>
  <si>
    <t>DISPONIVEL</t>
  </si>
  <si>
    <t>STATUS</t>
  </si>
  <si>
    <t>SUITES+QUARTOS</t>
  </si>
  <si>
    <t>TIPOLOGIA</t>
  </si>
  <si>
    <t>GRANDE</t>
  </si>
  <si>
    <t>SUBTIPOLOGIA</t>
  </si>
  <si>
    <t>MEDIO</t>
  </si>
  <si>
    <t>PEQUENO</t>
  </si>
  <si>
    <t>TERRAÇO</t>
  </si>
  <si>
    <t>02</t>
  </si>
  <si>
    <t>01</t>
  </si>
  <si>
    <t>ATUALIZAR UNIDADES DO PAVIMENTO 11</t>
  </si>
  <si>
    <t>TIPO PAVIMENTO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</si>
</sst>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"/>
    <numFmt numFmtId="165" formatCode="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44" fontId="0" fillId="0" borderId="0" xfId="1" applyFont="1"/>
    <xf numFmtId="0" fontId="2" fillId="0" borderId="0" xfId="0" applyFont="1"/>
    <xf numFmtId="44" fontId="0" fillId="0" borderId="0" xfId="0" applyNumberFormat="1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/>
    <xf numFmtId="44" fontId="1" fillId="0" borderId="0" xfId="1" applyFont="1" applyBorder="1"/>
    <xf numFmtId="44" fontId="0" fillId="0" borderId="0" xfId="1" applyFont="1" applyBorder="1"/>
    <xf numFmtId="8" fontId="0" fillId="0" borderId="0" xfId="0" applyNumberFormat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/>
    <xf numFmtId="2" fontId="0" fillId="0" borderId="0" xfId="0" quotePrefix="1" applyNumberFormat="1"/>
  </cellXfs>
  <cellStyles count="2">
    <cellStyle name="Moeda" xfId="1" builtinId="4"/>
    <cellStyle name="Normal" xfId="0" builtinId="0"/>
  </cellStyles>
  <dxfs count="30">
    <dxf>
      <numFmt numFmtId="2" formatCode="0.00"/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theme="8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Calibri"/>
        <family val="2"/>
        <scheme val="minor"/>
      </font>
      <numFmt numFmtId="0" formatCode="General"/>
    </dxf>
    <dxf>
      <font>
        <color auto="1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2" formatCode="0.00"/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 patternType="solid">
          <bgColor rgb="FF788F8D"/>
        </patternFill>
      </fill>
    </dxf>
    <dxf>
      <border>
        <left style="thin">
          <color rgb="FF788F8D"/>
        </left>
        <right style="thin">
          <color rgb="FF788F8D"/>
        </right>
        <top style="thin">
          <color rgb="FF788F8D"/>
        </top>
        <bottom style="thin">
          <color rgb="FF788F8D"/>
        </bottom>
        <vertical style="thin">
          <color rgb="FF788F8D"/>
        </vertical>
        <horizontal style="thin">
          <color rgb="FF788F8D"/>
        </horizontal>
      </border>
    </dxf>
    <dxf>
      <border>
        <left style="thin">
          <color theme="8"/>
        </left>
      </border>
    </dxf>
    <dxf>
      <border>
        <left style="thin">
          <color theme="8"/>
        </left>
      </border>
    </dxf>
    <dxf>
      <border>
        <top style="thin">
          <color theme="8"/>
        </top>
      </border>
    </dxf>
    <dxf>
      <border>
        <top style="thin">
          <color theme="8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rgb="FF6B5341"/>
          <bgColor rgb="FF6B5341"/>
        </patternFill>
      </fill>
    </dxf>
    <dxf>
      <font>
        <color theme="1"/>
      </font>
      <border>
        <left style="thin">
          <color rgb="FF6B5341"/>
        </left>
        <right style="thin">
          <color rgb="FF6B5341"/>
        </right>
        <top style="thin">
          <color rgb="FF6B5341"/>
        </top>
        <bottom style="thin">
          <color rgb="FF6B5341"/>
        </bottom>
      </border>
    </dxf>
  </dxfs>
  <tableStyles count="2" defaultTableStyle="TableStyleMedium2" defaultPivotStyle="PivotStyleLight16">
    <tableStyle name="VICENZO" pivot="0" count="9" xr9:uid="{52C9365A-4E93-40A3-9288-59D08CB869E4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secondRowStripe" dxfId="23"/>
      <tableStyleElement type="firstColumnStripe" dxfId="22"/>
      <tableStyleElement type="secondColumnStripe" dxfId="21"/>
    </tableStyle>
    <tableStyle name="VICENZO V2" pivot="0" count="2" xr9:uid="{FE2AF71A-B677-4E93-960F-1FD31D824811}">
      <tableStyleElement type="wholeTable" dxfId="20"/>
      <tableStyleElement type="headerRow" dxfId="19"/>
    </tableStyle>
  </tableStyles>
  <colors>
    <mruColors>
      <color rgb="FF6B5341"/>
      <color rgb="FF788F8D"/>
      <color rgb="FF141A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B377F-0EDC-4783-9327-34247F44302D}" name="UNIDADES" displayName="UNIDADES" ref="A1:S164" totalsRowShown="0" headerRowDxfId="18">
  <autoFilter ref="A1:S164" xr:uid="{E6FD0DB4-94B8-4C9C-AEE3-410A31ACB9EA}"/>
  <tableColumns count="19">
    <tableColumn id="1" xr3:uid="{35D4FE53-83B0-4F2F-8387-9D6853816AE9}" name="UNIDADE"/>
    <tableColumn id="2" xr3:uid="{3DA16E7D-A015-481E-8E11-64190C3159DB}" name="PAVIMENTO" dataDxfId="17"/>
    <tableColumn id="19" xr3:uid="{80055A64-8A53-4DED-83BA-4B177ADF9A7C}" name="TIPO PAVIMENTO" dataDxfId="16"/>
    <tableColumn id="17" xr3:uid="{FA7B4DDB-2409-4B36-AC09-7B9EDE47AD27}" name="NUMERO UNIDADE" dataDxfId="15">
      <calculatedColumnFormula>VALUE(_xlfn.TEXTBEFORE(UNIDADES[[#This Row],[UNIDADE]]," "))</calculatedColumnFormula>
    </tableColumn>
    <tableColumn id="3" xr3:uid="{659DA21B-67FF-4D3B-AAD1-46FABF76128E}" name="TORRE" dataDxfId="14"/>
    <tableColumn id="4" xr3:uid="{44D9A54E-7A55-4090-ABA7-94595AA1DFC6}" name="UNIDADE TIPO" dataDxfId="13"/>
    <tableColumn id="10" xr3:uid="{22BADA96-03AF-4737-BDFC-390AB6B1FBC2}" name="COLUNA" dataDxfId="12"/>
    <tableColumn id="16" xr3:uid="{B946ED85-2C8D-4B09-8896-B1E2B469BBEA}" name="SUITES" dataDxfId="11"/>
    <tableColumn id="18" xr3:uid="{A92220E2-9AD6-410B-95F2-09737029BF1A}" name="QUARTOS" dataDxfId="10"/>
    <tableColumn id="13" xr3:uid="{B74E1C35-87D4-4CF2-B947-412F9EF95719}" name="SUITES+QUARTOS" dataDxfId="9">
      <calculatedColumnFormula>UNIDADES[[#This Row],[SUITES]]+UNIDADES[[#This Row],[QUARTOS]]</calculatedColumnFormula>
    </tableColumn>
    <tableColumn id="9" xr3:uid="{7E575B25-F08D-46ED-A32E-E0D8955DF8D4}" name="POSICAO NASCENTE/POENTE" dataDxfId="8"/>
    <tableColumn id="11" xr3:uid="{5785AB36-E053-4D42-BD83-AB8558014954}" name="POSICAO NORTE/SUL" dataDxfId="7"/>
    <tableColumn id="12" xr3:uid="{8C9E9BA0-1C7D-43B9-BD08-B33C0B74BCB4}" name="POSICAO INTERNO/EXTERNO" dataDxfId="6"/>
    <tableColumn id="5" xr3:uid="{6E1EC3D7-91C3-48EF-99B2-0A1D3FA9588C}" name="AREA PADRAO" dataDxfId="5"/>
    <tableColumn id="6" xr3:uid="{85076787-22A0-4A49-9AE5-1D1888746B80}" name="AREA TECNICA" dataDxfId="4"/>
    <tableColumn id="7" xr3:uid="{7DEEF424-FE10-4F18-8DFE-BA62330D24D3}" name="AREA TERRACO" dataDxfId="3"/>
    <tableColumn id="8" xr3:uid="{75749DA9-D8DB-45CE-9D42-7D29B8C7D68A}" name="AREA CALCULO DE PRECO" dataDxfId="2">
      <calculatedColumnFormula>UNIDADES[[#This Row],[AREA PADRAO]]+UNIDADES[[#This Row],[AREA TERRACO]]*0.5</calculatedColumnFormula>
    </tableColumn>
    <tableColumn id="14" xr3:uid="{22B79768-72DF-4865-96EE-8DAB60293F65}" name="TIPOLOGIA" dataDxfId="1"/>
    <tableColumn id="15" xr3:uid="{F9BD5F1D-0682-48B1-8CFC-CD6DFC455989}" name="SUBTIPOLOG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D6B7-4778-4985-8D6C-415B4A7B8AA6}">
  <dimension ref="A1:S166"/>
  <sheetViews>
    <sheetView tabSelected="1" topLeftCell="F1" zoomScale="85" zoomScaleNormal="85" workbookViewId="0">
      <selection activeCell="K4" sqref="K4"/>
    </sheetView>
  </sheetViews>
  <sheetFormatPr defaultRowHeight="14.6" x14ac:dyDescent="0.4"/>
  <cols>
    <col min="1" max="1" width="11.3828125" bestFit="1" customWidth="1"/>
    <col min="2" max="2" width="16.53515625" customWidth="1"/>
    <col min="3" max="3" width="9.23046875" customWidth="1"/>
    <col min="4" max="4" width="16.53515625" style="13" customWidth="1"/>
    <col min="5" max="5" width="11.3046875" style="13" customWidth="1"/>
    <col min="6" max="9" width="16.15234375" customWidth="1"/>
    <col min="10" max="10" width="21.84375" style="13" customWidth="1"/>
    <col min="11" max="11" width="15.15234375" style="4" customWidth="1"/>
    <col min="12" max="12" width="21.84375" style="4" customWidth="1"/>
    <col min="13" max="13" width="18.3828125" customWidth="1"/>
    <col min="14" max="14" width="16.15234375" customWidth="1"/>
    <col min="15" max="15" width="16.84375" customWidth="1"/>
    <col min="16" max="16" width="25.3828125" bestFit="1" customWidth="1"/>
    <col min="17" max="17" width="17.53515625" style="13" customWidth="1"/>
    <col min="18" max="18" width="16.4609375" bestFit="1" customWidth="1"/>
    <col min="19" max="19" width="12.3828125" customWidth="1"/>
  </cols>
  <sheetData>
    <row r="1" spans="1:19" s="6" customFormat="1" ht="43.75" x14ac:dyDescent="0.4">
      <c r="A1" s="6" t="s">
        <v>4</v>
      </c>
      <c r="B1" s="6" t="s">
        <v>5</v>
      </c>
      <c r="C1" s="7" t="s">
        <v>398</v>
      </c>
      <c r="D1" s="12" t="s">
        <v>382</v>
      </c>
      <c r="E1" s="12" t="s">
        <v>6</v>
      </c>
      <c r="F1" s="6" t="s">
        <v>7</v>
      </c>
      <c r="G1" s="6" t="s">
        <v>187</v>
      </c>
      <c r="H1" s="6" t="s">
        <v>381</v>
      </c>
      <c r="I1" s="6" t="s">
        <v>383</v>
      </c>
      <c r="J1" s="12" t="s">
        <v>388</v>
      </c>
      <c r="K1" s="6" t="s">
        <v>327</v>
      </c>
      <c r="L1" s="6" t="s">
        <v>328</v>
      </c>
      <c r="M1" s="6" t="s">
        <v>329</v>
      </c>
      <c r="N1" s="7" t="s">
        <v>8</v>
      </c>
      <c r="O1" s="7" t="s">
        <v>9</v>
      </c>
      <c r="P1" s="7" t="s">
        <v>10</v>
      </c>
      <c r="Q1" s="14" t="s">
        <v>194</v>
      </c>
      <c r="R1" s="7" t="s">
        <v>389</v>
      </c>
      <c r="S1" s="7" t="s">
        <v>391</v>
      </c>
    </row>
    <row r="2" spans="1:19" x14ac:dyDescent="0.4">
      <c r="A2" t="s">
        <v>250</v>
      </c>
      <c r="B2" s="4" t="s">
        <v>12</v>
      </c>
      <c r="C2" s="1"/>
      <c r="D2" s="13">
        <f>VALUE(_xlfn.TEXTBEFORE(UNIDADES[[#This Row],[UNIDADE]]," "))</f>
        <v>101</v>
      </c>
      <c r="E2" s="13" t="s">
        <v>361</v>
      </c>
      <c r="F2" s="4" t="s">
        <v>250</v>
      </c>
      <c r="G2" s="4" t="s">
        <v>364</v>
      </c>
      <c r="H2" s="4">
        <v>3</v>
      </c>
      <c r="I2" s="4">
        <v>0</v>
      </c>
      <c r="J2" s="13">
        <f>UNIDADES[[#This Row],[SUITES]]+UNIDADES[[#This Row],[QUARTOS]]</f>
        <v>3</v>
      </c>
      <c r="K2" s="4" t="s">
        <v>188</v>
      </c>
      <c r="L2" s="4" t="s">
        <v>3</v>
      </c>
      <c r="M2" s="4" t="s">
        <v>191</v>
      </c>
      <c r="N2" s="1">
        <v>106.93295755635</v>
      </c>
      <c r="O2" s="1">
        <v>4.0763124858182902</v>
      </c>
      <c r="P2" s="1">
        <v>0</v>
      </c>
      <c r="Q2" s="15">
        <f>UNIDADES[[#This Row],[AREA PADRAO]]+UNIDADES[[#This Row],[AREA TERRACO]]*0.5</f>
        <v>106.93295755635</v>
      </c>
      <c r="R2" s="1" t="s">
        <v>390</v>
      </c>
      <c r="S2" s="16" t="s">
        <v>396</v>
      </c>
    </row>
    <row r="3" spans="1:19" x14ac:dyDescent="0.4">
      <c r="A3" t="s">
        <v>249</v>
      </c>
      <c r="B3" s="4" t="s">
        <v>12</v>
      </c>
      <c r="C3" s="1"/>
      <c r="D3" s="13">
        <f>VALUE(_xlfn.TEXTBEFORE(UNIDADES[[#This Row],[UNIDADE]]," "))</f>
        <v>102</v>
      </c>
      <c r="E3" s="13" t="s">
        <v>361</v>
      </c>
      <c r="F3" s="4" t="s">
        <v>249</v>
      </c>
      <c r="G3" s="4" t="s">
        <v>366</v>
      </c>
      <c r="H3" s="4">
        <v>3</v>
      </c>
      <c r="I3" s="4">
        <v>0</v>
      </c>
      <c r="J3" s="13">
        <f>UNIDADES[[#This Row],[SUITES]]+UNIDADES[[#This Row],[QUARTOS]]</f>
        <v>3</v>
      </c>
      <c r="K3" s="4" t="s">
        <v>188</v>
      </c>
      <c r="L3" s="4" t="s">
        <v>1</v>
      </c>
      <c r="M3" s="4" t="s">
        <v>190</v>
      </c>
      <c r="N3" s="1">
        <v>107.136657558349</v>
      </c>
      <c r="O3" s="1">
        <v>3.5760000057111401</v>
      </c>
      <c r="P3" s="1">
        <v>0</v>
      </c>
      <c r="Q3" s="15">
        <f>UNIDADES[[#This Row],[AREA PADRAO]]+UNIDADES[[#This Row],[AREA TERRACO]]*0.5</f>
        <v>107.136657558349</v>
      </c>
      <c r="R3" s="1" t="s">
        <v>390</v>
      </c>
      <c r="S3" s="16" t="s">
        <v>396</v>
      </c>
    </row>
    <row r="4" spans="1:19" x14ac:dyDescent="0.4">
      <c r="A4" t="s">
        <v>248</v>
      </c>
      <c r="B4" s="4" t="s">
        <v>12</v>
      </c>
      <c r="C4" s="1"/>
      <c r="D4" s="13">
        <f>VALUE(_xlfn.TEXTBEFORE(UNIDADES[[#This Row],[UNIDADE]]," "))</f>
        <v>103</v>
      </c>
      <c r="E4" s="13" t="s">
        <v>361</v>
      </c>
      <c r="F4" s="4" t="s">
        <v>248</v>
      </c>
      <c r="G4" s="4" t="s">
        <v>368</v>
      </c>
      <c r="H4" s="4">
        <v>3</v>
      </c>
      <c r="I4" s="4">
        <v>0</v>
      </c>
      <c r="J4" s="13">
        <f>UNIDADES[[#This Row],[SUITES]]+UNIDADES[[#This Row],[QUARTOS]]</f>
        <v>3</v>
      </c>
      <c r="L4" s="4" t="s">
        <v>1</v>
      </c>
      <c r="M4" s="4" t="s">
        <v>190</v>
      </c>
      <c r="N4" s="1">
        <v>75.278500032637396</v>
      </c>
      <c r="O4" s="1">
        <v>6.3971000067551502</v>
      </c>
      <c r="P4" s="1">
        <v>35.5304999463307</v>
      </c>
      <c r="Q4" s="15">
        <f>UNIDADES[[#This Row],[AREA PADRAO]]+UNIDADES[[#This Row],[AREA TERRACO]]*0.5</f>
        <v>93.04375000580275</v>
      </c>
      <c r="R4" s="1" t="s">
        <v>394</v>
      </c>
      <c r="S4" s="1"/>
    </row>
    <row r="5" spans="1:19" x14ac:dyDescent="0.4">
      <c r="A5" t="s">
        <v>247</v>
      </c>
      <c r="B5" s="4" t="s">
        <v>12</v>
      </c>
      <c r="C5" s="1"/>
      <c r="D5" s="13">
        <f>VALUE(_xlfn.TEXTBEFORE(UNIDADES[[#This Row],[UNIDADE]]," "))</f>
        <v>104</v>
      </c>
      <c r="E5" s="13" t="s">
        <v>361</v>
      </c>
      <c r="F5" s="4" t="s">
        <v>247</v>
      </c>
      <c r="G5" s="4" t="s">
        <v>370</v>
      </c>
      <c r="H5" s="4">
        <v>1</v>
      </c>
      <c r="I5" s="4">
        <v>1</v>
      </c>
      <c r="J5" s="13">
        <f>UNIDADES[[#This Row],[SUITES]]+UNIDADES[[#This Row],[QUARTOS]]</f>
        <v>2</v>
      </c>
      <c r="L5" s="4" t="s">
        <v>1</v>
      </c>
      <c r="M5" s="4" t="s">
        <v>190</v>
      </c>
      <c r="N5" s="1">
        <v>54.363999992385303</v>
      </c>
      <c r="O5" s="1">
        <v>3.2220000000001301</v>
      </c>
      <c r="P5" s="1">
        <v>23.280000000000602</v>
      </c>
      <c r="Q5" s="15">
        <f>UNIDADES[[#This Row],[AREA PADRAO]]+UNIDADES[[#This Row],[AREA TERRACO]]*0.5</f>
        <v>66.003999992385602</v>
      </c>
      <c r="R5" s="1" t="s">
        <v>394</v>
      </c>
      <c r="S5" s="1"/>
    </row>
    <row r="6" spans="1:19" x14ac:dyDescent="0.4">
      <c r="A6" t="s">
        <v>246</v>
      </c>
      <c r="B6" s="4" t="s">
        <v>12</v>
      </c>
      <c r="C6" s="1"/>
      <c r="D6" s="13">
        <f>VALUE(_xlfn.TEXTBEFORE(UNIDADES[[#This Row],[UNIDADE]]," "))</f>
        <v>105</v>
      </c>
      <c r="E6" s="13" t="s">
        <v>361</v>
      </c>
      <c r="F6" s="4" t="s">
        <v>246</v>
      </c>
      <c r="G6" s="4" t="s">
        <v>372</v>
      </c>
      <c r="H6" s="4">
        <v>1</v>
      </c>
      <c r="I6" s="4">
        <v>1</v>
      </c>
      <c r="J6" s="13">
        <f>UNIDADES[[#This Row],[SUITES]]+UNIDADES[[#This Row],[QUARTOS]]</f>
        <v>2</v>
      </c>
      <c r="K6" s="4" t="s">
        <v>189</v>
      </c>
      <c r="L6" s="4" t="s">
        <v>1</v>
      </c>
      <c r="M6" s="4" t="s">
        <v>190</v>
      </c>
      <c r="N6" s="1">
        <v>59.501049999999999</v>
      </c>
      <c r="O6" s="1">
        <v>4.6547749999998302</v>
      </c>
      <c r="P6" s="1">
        <v>0</v>
      </c>
      <c r="Q6" s="15">
        <f>UNIDADES[[#This Row],[AREA PADRAO]]+UNIDADES[[#This Row],[AREA TERRACO]]*0.5</f>
        <v>59.501049999999999</v>
      </c>
      <c r="R6" s="1" t="s">
        <v>393</v>
      </c>
      <c r="S6" s="1"/>
    </row>
    <row r="7" spans="1:19" x14ac:dyDescent="0.4">
      <c r="A7" t="s">
        <v>245</v>
      </c>
      <c r="B7" s="4" t="s">
        <v>12</v>
      </c>
      <c r="C7" s="1"/>
      <c r="D7" s="13">
        <f>VALUE(_xlfn.TEXTBEFORE(UNIDADES[[#This Row],[UNIDADE]]," "))</f>
        <v>106</v>
      </c>
      <c r="E7" s="13" t="s">
        <v>361</v>
      </c>
      <c r="F7" s="4" t="s">
        <v>245</v>
      </c>
      <c r="G7" s="4" t="s">
        <v>374</v>
      </c>
      <c r="H7" s="4">
        <v>1</v>
      </c>
      <c r="I7" s="4">
        <v>1</v>
      </c>
      <c r="J7" s="13">
        <f>UNIDADES[[#This Row],[SUITES]]+UNIDADES[[#This Row],[QUARTOS]]</f>
        <v>2</v>
      </c>
      <c r="K7" s="4" t="s">
        <v>189</v>
      </c>
      <c r="L7" s="4" t="s">
        <v>3</v>
      </c>
      <c r="M7" s="4" t="s">
        <v>191</v>
      </c>
      <c r="N7" s="1">
        <v>63.803425320230403</v>
      </c>
      <c r="O7" s="1">
        <v>1.37497500000002</v>
      </c>
      <c r="P7" s="1">
        <v>59.673525104849197</v>
      </c>
      <c r="Q7" s="15">
        <f>UNIDADES[[#This Row],[AREA PADRAO]]+UNIDADES[[#This Row],[AREA TERRACO]]*0.5</f>
        <v>93.640187872655005</v>
      </c>
      <c r="R7" s="1" t="s">
        <v>394</v>
      </c>
      <c r="S7" s="1"/>
    </row>
    <row r="8" spans="1:19" x14ac:dyDescent="0.4">
      <c r="A8" t="s">
        <v>330</v>
      </c>
      <c r="B8" s="4" t="s">
        <v>12</v>
      </c>
      <c r="C8" s="1"/>
      <c r="D8" s="13">
        <f>VALUE(_xlfn.TEXTBEFORE(UNIDADES[[#This Row],[UNIDADE]]," "))</f>
        <v>109</v>
      </c>
      <c r="E8" s="13" t="s">
        <v>361</v>
      </c>
      <c r="F8" s="4" t="s">
        <v>330</v>
      </c>
      <c r="G8" s="4" t="s">
        <v>378</v>
      </c>
      <c r="H8" s="4">
        <v>1</v>
      </c>
      <c r="I8" s="4">
        <v>1</v>
      </c>
      <c r="J8" s="13">
        <f>UNIDADES[[#This Row],[SUITES]]+UNIDADES[[#This Row],[QUARTOS]]</f>
        <v>2</v>
      </c>
      <c r="L8" s="4" t="s">
        <v>3</v>
      </c>
      <c r="M8" s="4" t="s">
        <v>191</v>
      </c>
      <c r="N8" s="1">
        <v>57.580400001903698</v>
      </c>
      <c r="O8" s="1">
        <v>3.4512616588337699</v>
      </c>
      <c r="P8" s="1">
        <v>0</v>
      </c>
      <c r="Q8" s="15">
        <f>UNIDADES[[#This Row],[AREA PADRAO]]+UNIDADES[[#This Row],[AREA TERRACO]]*0.5</f>
        <v>57.580400001903698</v>
      </c>
      <c r="R8" s="1" t="s">
        <v>393</v>
      </c>
      <c r="S8" s="1"/>
    </row>
    <row r="9" spans="1:19" x14ac:dyDescent="0.4">
      <c r="A9" t="s">
        <v>228</v>
      </c>
      <c r="B9" s="4" t="s">
        <v>20</v>
      </c>
      <c r="C9" s="1"/>
      <c r="D9" s="13">
        <f>VALUE(_xlfn.TEXTBEFORE(UNIDADES[[#This Row],[UNIDADE]]," "))</f>
        <v>201</v>
      </c>
      <c r="E9" s="13" t="s">
        <v>361</v>
      </c>
      <c r="F9" s="4" t="s">
        <v>228</v>
      </c>
      <c r="G9" s="4" t="s">
        <v>364</v>
      </c>
      <c r="H9" s="4">
        <v>3</v>
      </c>
      <c r="I9" s="4">
        <v>0</v>
      </c>
      <c r="J9" s="13">
        <f>UNIDADES[[#This Row],[SUITES]]+UNIDADES[[#This Row],[QUARTOS]]</f>
        <v>3</v>
      </c>
      <c r="K9" s="4" t="s">
        <v>188</v>
      </c>
      <c r="L9" s="4" t="s">
        <v>3</v>
      </c>
      <c r="M9" s="4" t="s">
        <v>191</v>
      </c>
      <c r="N9" s="1">
        <v>107.76375755900401</v>
      </c>
      <c r="O9" s="1">
        <v>6.81024999533639</v>
      </c>
      <c r="P9" s="1">
        <v>0</v>
      </c>
      <c r="Q9" s="15">
        <f>UNIDADES[[#This Row],[AREA PADRAO]]+UNIDADES[[#This Row],[AREA TERRACO]]*0.5</f>
        <v>107.76375755900401</v>
      </c>
      <c r="R9" s="1" t="s">
        <v>390</v>
      </c>
      <c r="S9" s="16" t="s">
        <v>396</v>
      </c>
    </row>
    <row r="10" spans="1:19" x14ac:dyDescent="0.4">
      <c r="A10" t="s">
        <v>229</v>
      </c>
      <c r="B10" s="4" t="s">
        <v>20</v>
      </c>
      <c r="C10" s="1"/>
      <c r="D10" s="13">
        <f>VALUE(_xlfn.TEXTBEFORE(UNIDADES[[#This Row],[UNIDADE]]," "))</f>
        <v>202</v>
      </c>
      <c r="E10" s="13" t="s">
        <v>361</v>
      </c>
      <c r="F10" s="4" t="s">
        <v>229</v>
      </c>
      <c r="G10" s="4" t="s">
        <v>366</v>
      </c>
      <c r="H10" s="4">
        <v>3</v>
      </c>
      <c r="I10" s="4">
        <v>0</v>
      </c>
      <c r="J10" s="13">
        <f>UNIDADES[[#This Row],[SUITES]]+UNIDADES[[#This Row],[QUARTOS]]</f>
        <v>3</v>
      </c>
      <c r="K10" s="4" t="s">
        <v>188</v>
      </c>
      <c r="L10" s="4" t="s">
        <v>1</v>
      </c>
      <c r="M10" s="4" t="s">
        <v>190</v>
      </c>
      <c r="N10" s="1">
        <v>107.333257557005</v>
      </c>
      <c r="O10" s="1">
        <v>4.0860000000002303</v>
      </c>
      <c r="P10" s="1">
        <v>0</v>
      </c>
      <c r="Q10" s="15">
        <f>UNIDADES[[#This Row],[AREA PADRAO]]+UNIDADES[[#This Row],[AREA TERRACO]]*0.5</f>
        <v>107.333257557005</v>
      </c>
      <c r="R10" s="1" t="s">
        <v>390</v>
      </c>
      <c r="S10" s="16" t="s">
        <v>396</v>
      </c>
    </row>
    <row r="11" spans="1:19" x14ac:dyDescent="0.4">
      <c r="A11" t="s">
        <v>230</v>
      </c>
      <c r="B11" s="4" t="s">
        <v>20</v>
      </c>
      <c r="C11" s="1"/>
      <c r="D11" s="13">
        <f>VALUE(_xlfn.TEXTBEFORE(UNIDADES[[#This Row],[UNIDADE]]," "))</f>
        <v>203</v>
      </c>
      <c r="E11" s="13" t="s">
        <v>361</v>
      </c>
      <c r="F11" s="4" t="s">
        <v>230</v>
      </c>
      <c r="G11" s="4" t="s">
        <v>368</v>
      </c>
      <c r="H11" s="4">
        <v>3</v>
      </c>
      <c r="I11" s="4">
        <v>0</v>
      </c>
      <c r="J11" s="13">
        <f>UNIDADES[[#This Row],[SUITES]]+UNIDADES[[#This Row],[QUARTOS]]</f>
        <v>3</v>
      </c>
      <c r="L11" s="4" t="s">
        <v>1</v>
      </c>
      <c r="M11" s="4" t="s">
        <v>190</v>
      </c>
      <c r="N11" s="1">
        <v>75.988299987721106</v>
      </c>
      <c r="O11" s="1">
        <v>5.5006999999998696</v>
      </c>
      <c r="P11" s="1">
        <v>0</v>
      </c>
      <c r="Q11" s="15">
        <f>UNIDADES[[#This Row],[AREA PADRAO]]+UNIDADES[[#This Row],[AREA TERRACO]]*0.5</f>
        <v>75.988299987721106</v>
      </c>
      <c r="R11" s="1" t="s">
        <v>392</v>
      </c>
      <c r="S11" s="16" t="s">
        <v>396</v>
      </c>
    </row>
    <row r="12" spans="1:19" x14ac:dyDescent="0.4">
      <c r="A12" t="s">
        <v>231</v>
      </c>
      <c r="B12" s="4" t="s">
        <v>20</v>
      </c>
      <c r="C12" s="1"/>
      <c r="D12" s="13">
        <f>VALUE(_xlfn.TEXTBEFORE(UNIDADES[[#This Row],[UNIDADE]]," "))</f>
        <v>204</v>
      </c>
      <c r="E12" s="13" t="s">
        <v>361</v>
      </c>
      <c r="F12" s="4" t="s">
        <v>231</v>
      </c>
      <c r="G12" s="4" t="s">
        <v>370</v>
      </c>
      <c r="H12" s="4">
        <v>1</v>
      </c>
      <c r="I12" s="4">
        <v>1</v>
      </c>
      <c r="J12" s="13">
        <f>UNIDADES[[#This Row],[SUITES]]+UNIDADES[[#This Row],[QUARTOS]]</f>
        <v>2</v>
      </c>
      <c r="L12" s="4" t="s">
        <v>1</v>
      </c>
      <c r="M12" s="4" t="s">
        <v>190</v>
      </c>
      <c r="N12" s="1">
        <v>54.312999998096998</v>
      </c>
      <c r="O12" s="1">
        <v>3.0779999942888701</v>
      </c>
      <c r="P12" s="1">
        <v>0</v>
      </c>
      <c r="Q12" s="15">
        <f>UNIDADES[[#This Row],[AREA PADRAO]]+UNIDADES[[#This Row],[AREA TERRACO]]*0.5</f>
        <v>54.312999998096998</v>
      </c>
      <c r="R12" s="1" t="s">
        <v>393</v>
      </c>
      <c r="S12" s="1"/>
    </row>
    <row r="13" spans="1:19" x14ac:dyDescent="0.4">
      <c r="A13" t="s">
        <v>232</v>
      </c>
      <c r="B13" s="4" t="s">
        <v>20</v>
      </c>
      <c r="C13" s="1"/>
      <c r="D13" s="13">
        <f>VALUE(_xlfn.TEXTBEFORE(UNIDADES[[#This Row],[UNIDADE]]," "))</f>
        <v>205</v>
      </c>
      <c r="E13" s="13" t="s">
        <v>361</v>
      </c>
      <c r="F13" s="4" t="s">
        <v>232</v>
      </c>
      <c r="G13" s="4" t="s">
        <v>372</v>
      </c>
      <c r="H13" s="4">
        <v>1</v>
      </c>
      <c r="I13" s="4">
        <v>1</v>
      </c>
      <c r="J13" s="13">
        <f>UNIDADES[[#This Row],[SUITES]]+UNIDADES[[#This Row],[QUARTOS]]</f>
        <v>2</v>
      </c>
      <c r="K13" s="4" t="s">
        <v>189</v>
      </c>
      <c r="L13" s="4" t="s">
        <v>1</v>
      </c>
      <c r="M13" s="4" t="s">
        <v>190</v>
      </c>
      <c r="N13" s="1">
        <v>59.500987689683299</v>
      </c>
      <c r="O13" s="1">
        <v>4.6546370784516995</v>
      </c>
      <c r="P13" s="1">
        <v>0</v>
      </c>
      <c r="Q13" s="15">
        <f>UNIDADES[[#This Row],[AREA PADRAO]]+UNIDADES[[#This Row],[AREA TERRACO]]*0.5</f>
        <v>59.500987689683299</v>
      </c>
      <c r="R13" s="1" t="s">
        <v>393</v>
      </c>
      <c r="S13" s="1"/>
    </row>
    <row r="14" spans="1:19" x14ac:dyDescent="0.4">
      <c r="A14" t="s">
        <v>233</v>
      </c>
      <c r="B14" s="4" t="s">
        <v>20</v>
      </c>
      <c r="C14" s="1"/>
      <c r="D14" s="13">
        <f>VALUE(_xlfn.TEXTBEFORE(UNIDADES[[#This Row],[UNIDADE]]," "))</f>
        <v>206</v>
      </c>
      <c r="E14" s="13" t="s">
        <v>361</v>
      </c>
      <c r="F14" s="4" t="s">
        <v>233</v>
      </c>
      <c r="G14" s="4" t="s">
        <v>374</v>
      </c>
      <c r="H14" s="4">
        <v>1</v>
      </c>
      <c r="I14" s="4">
        <v>1</v>
      </c>
      <c r="J14" s="13">
        <f>UNIDADES[[#This Row],[SUITES]]+UNIDADES[[#This Row],[QUARTOS]]</f>
        <v>2</v>
      </c>
      <c r="K14" s="4" t="s">
        <v>189</v>
      </c>
      <c r="L14" s="4" t="s">
        <v>3</v>
      </c>
      <c r="M14" s="4" t="s">
        <v>191</v>
      </c>
      <c r="N14" s="1">
        <v>58.913550312519497</v>
      </c>
      <c r="O14" s="1">
        <v>4.5489749967164101</v>
      </c>
      <c r="P14" s="1">
        <v>0</v>
      </c>
      <c r="Q14" s="15">
        <f>UNIDADES[[#This Row],[AREA PADRAO]]+UNIDADES[[#This Row],[AREA TERRACO]]*0.5</f>
        <v>58.913550312519497</v>
      </c>
      <c r="R14" s="1" t="s">
        <v>393</v>
      </c>
      <c r="S14" s="1"/>
    </row>
    <row r="15" spans="1:19" x14ac:dyDescent="0.4">
      <c r="A15" t="s">
        <v>331</v>
      </c>
      <c r="B15" s="4" t="s">
        <v>20</v>
      </c>
      <c r="C15" s="1"/>
      <c r="D15" s="13">
        <f>VALUE(_xlfn.TEXTBEFORE(UNIDADES[[#This Row],[UNIDADE]]," "))</f>
        <v>207</v>
      </c>
      <c r="E15" s="13" t="s">
        <v>361</v>
      </c>
      <c r="F15" s="4" t="s">
        <v>331</v>
      </c>
      <c r="G15" s="4" t="s">
        <v>376</v>
      </c>
      <c r="H15" s="4">
        <v>1</v>
      </c>
      <c r="I15" s="4">
        <v>1</v>
      </c>
      <c r="J15" s="13">
        <f>UNIDADES[[#This Row],[SUITES]]+UNIDADES[[#This Row],[QUARTOS]]</f>
        <v>2</v>
      </c>
      <c r="L15" s="4" t="s">
        <v>3</v>
      </c>
      <c r="M15" s="4" t="s">
        <v>191</v>
      </c>
      <c r="N15" s="1">
        <v>48.827200057960503</v>
      </c>
      <c r="O15" s="1">
        <v>4.5120000000001603</v>
      </c>
      <c r="P15" s="1">
        <v>0</v>
      </c>
      <c r="Q15" s="15">
        <f>UNIDADES[[#This Row],[AREA PADRAO]]+UNIDADES[[#This Row],[AREA TERRACO]]*0.5</f>
        <v>48.827200057960503</v>
      </c>
      <c r="R15" s="1" t="s">
        <v>393</v>
      </c>
      <c r="S15" s="1"/>
    </row>
    <row r="16" spans="1:19" x14ac:dyDescent="0.4">
      <c r="A16" t="s">
        <v>332</v>
      </c>
      <c r="B16" s="4" t="s">
        <v>20</v>
      </c>
      <c r="C16" s="1"/>
      <c r="D16" s="13">
        <f>VALUE(_xlfn.TEXTBEFORE(UNIDADES[[#This Row],[UNIDADE]]," "))</f>
        <v>208</v>
      </c>
      <c r="E16" s="13" t="s">
        <v>361</v>
      </c>
      <c r="F16" s="4" t="s">
        <v>332</v>
      </c>
      <c r="G16" s="4" t="s">
        <v>377</v>
      </c>
      <c r="H16" s="4">
        <v>1</v>
      </c>
      <c r="I16" s="4">
        <v>1</v>
      </c>
      <c r="J16" s="13">
        <f>UNIDADES[[#This Row],[SUITES]]+UNIDADES[[#This Row],[QUARTOS]]</f>
        <v>2</v>
      </c>
      <c r="L16" s="4" t="s">
        <v>3</v>
      </c>
      <c r="M16" s="4" t="s">
        <v>191</v>
      </c>
      <c r="N16" s="1">
        <v>48.566399941747498</v>
      </c>
      <c r="O16" s="1">
        <v>2.2630162639399498</v>
      </c>
      <c r="P16" s="1">
        <v>0</v>
      </c>
      <c r="Q16" s="15">
        <f>UNIDADES[[#This Row],[AREA PADRAO]]+UNIDADES[[#This Row],[AREA TERRACO]]*0.5</f>
        <v>48.566399941747498</v>
      </c>
      <c r="R16" s="1" t="s">
        <v>393</v>
      </c>
      <c r="S16" s="1"/>
    </row>
    <row r="17" spans="1:19" x14ac:dyDescent="0.4">
      <c r="A17" t="s">
        <v>333</v>
      </c>
      <c r="B17" s="4" t="s">
        <v>20</v>
      </c>
      <c r="C17" s="1"/>
      <c r="D17" s="13">
        <f>VALUE(_xlfn.TEXTBEFORE(UNIDADES[[#This Row],[UNIDADE]]," "))</f>
        <v>209</v>
      </c>
      <c r="E17" s="13" t="s">
        <v>361</v>
      </c>
      <c r="F17" s="4" t="s">
        <v>333</v>
      </c>
      <c r="G17" s="4" t="s">
        <v>378</v>
      </c>
      <c r="H17" s="4">
        <v>1</v>
      </c>
      <c r="I17" s="4">
        <v>1</v>
      </c>
      <c r="J17" s="13">
        <f>UNIDADES[[#This Row],[SUITES]]+UNIDADES[[#This Row],[QUARTOS]]</f>
        <v>2</v>
      </c>
      <c r="L17" s="4" t="s">
        <v>3</v>
      </c>
      <c r="M17" s="4" t="s">
        <v>191</v>
      </c>
      <c r="N17" s="1">
        <v>56.968400000000202</v>
      </c>
      <c r="O17" s="1">
        <v>2.7474655278330302</v>
      </c>
      <c r="P17" s="1">
        <v>0</v>
      </c>
      <c r="Q17" s="15">
        <f>UNIDADES[[#This Row],[AREA PADRAO]]+UNIDADES[[#This Row],[AREA TERRACO]]*0.5</f>
        <v>56.968400000000202</v>
      </c>
      <c r="R17" s="1" t="s">
        <v>393</v>
      </c>
      <c r="S17" s="1"/>
    </row>
    <row r="18" spans="1:19" x14ac:dyDescent="0.4">
      <c r="A18" t="s">
        <v>227</v>
      </c>
      <c r="B18" s="4" t="s">
        <v>30</v>
      </c>
      <c r="C18" s="1"/>
      <c r="D18" s="13">
        <f>VALUE(_xlfn.TEXTBEFORE(UNIDADES[[#This Row],[UNIDADE]]," "))</f>
        <v>301</v>
      </c>
      <c r="E18" s="13" t="s">
        <v>361</v>
      </c>
      <c r="F18" s="4" t="s">
        <v>227</v>
      </c>
      <c r="G18" s="4" t="s">
        <v>364</v>
      </c>
      <c r="H18" s="4">
        <v>3</v>
      </c>
      <c r="I18" s="4">
        <v>0</v>
      </c>
      <c r="J18" s="13">
        <f>UNIDADES[[#This Row],[SUITES]]+UNIDADES[[#This Row],[QUARTOS]]</f>
        <v>3</v>
      </c>
      <c r="K18" s="4" t="s">
        <v>188</v>
      </c>
      <c r="L18" s="4" t="s">
        <v>3</v>
      </c>
      <c r="M18" s="4" t="s">
        <v>191</v>
      </c>
      <c r="N18" s="1">
        <v>106.93295755635</v>
      </c>
      <c r="O18" s="1">
        <v>4.0763124858182396</v>
      </c>
      <c r="P18" s="1">
        <v>0</v>
      </c>
      <c r="Q18" s="15">
        <f>UNIDADES[[#This Row],[AREA PADRAO]]+UNIDADES[[#This Row],[AREA TERRACO]]*0.5</f>
        <v>106.93295755635</v>
      </c>
      <c r="R18" s="1" t="s">
        <v>390</v>
      </c>
      <c r="S18" s="16" t="s">
        <v>396</v>
      </c>
    </row>
    <row r="19" spans="1:19" x14ac:dyDescent="0.4">
      <c r="A19" t="s">
        <v>226</v>
      </c>
      <c r="B19" s="4" t="s">
        <v>30</v>
      </c>
      <c r="C19" s="1"/>
      <c r="D19" s="13">
        <f>VALUE(_xlfn.TEXTBEFORE(UNIDADES[[#This Row],[UNIDADE]]," "))</f>
        <v>302</v>
      </c>
      <c r="E19" s="13" t="s">
        <v>361</v>
      </c>
      <c r="F19" s="4" t="s">
        <v>226</v>
      </c>
      <c r="G19" s="4" t="s">
        <v>366</v>
      </c>
      <c r="H19" s="4">
        <v>3</v>
      </c>
      <c r="I19" s="4">
        <v>0</v>
      </c>
      <c r="J19" s="13">
        <f>UNIDADES[[#This Row],[SUITES]]+UNIDADES[[#This Row],[QUARTOS]]</f>
        <v>3</v>
      </c>
      <c r="K19" s="4" t="s">
        <v>188</v>
      </c>
      <c r="L19" s="4" t="s">
        <v>1</v>
      </c>
      <c r="M19" s="4" t="s">
        <v>190</v>
      </c>
      <c r="N19" s="1">
        <v>107.136657558349</v>
      </c>
      <c r="O19" s="1">
        <v>3.5340000000001601</v>
      </c>
      <c r="P19" s="1">
        <v>0</v>
      </c>
      <c r="Q19" s="15">
        <f>UNIDADES[[#This Row],[AREA PADRAO]]+UNIDADES[[#This Row],[AREA TERRACO]]*0.5</f>
        <v>107.136657558349</v>
      </c>
      <c r="R19" s="1" t="s">
        <v>390</v>
      </c>
      <c r="S19" s="16" t="s">
        <v>396</v>
      </c>
    </row>
    <row r="20" spans="1:19" x14ac:dyDescent="0.4">
      <c r="A20" t="s">
        <v>225</v>
      </c>
      <c r="B20" s="4" t="s">
        <v>30</v>
      </c>
      <c r="C20" s="1"/>
      <c r="D20" s="13">
        <f>VALUE(_xlfn.TEXTBEFORE(UNIDADES[[#This Row],[UNIDADE]]," "))</f>
        <v>303</v>
      </c>
      <c r="E20" s="13" t="s">
        <v>361</v>
      </c>
      <c r="F20" s="4" t="s">
        <v>225</v>
      </c>
      <c r="G20" s="4" t="s">
        <v>368</v>
      </c>
      <c r="H20" s="4">
        <v>3</v>
      </c>
      <c r="I20" s="4">
        <v>0</v>
      </c>
      <c r="J20" s="13">
        <f>UNIDADES[[#This Row],[SUITES]]+UNIDADES[[#This Row],[QUARTOS]]</f>
        <v>3</v>
      </c>
      <c r="L20" s="4" t="s">
        <v>1</v>
      </c>
      <c r="M20" s="4" t="s">
        <v>190</v>
      </c>
      <c r="N20" s="1">
        <v>75.256824991647093</v>
      </c>
      <c r="O20" s="1">
        <v>6.0660614415009197</v>
      </c>
      <c r="P20" s="1">
        <v>0</v>
      </c>
      <c r="Q20" s="15">
        <f>UNIDADES[[#This Row],[AREA PADRAO]]+UNIDADES[[#This Row],[AREA TERRACO]]*0.5</f>
        <v>75.256824991647093</v>
      </c>
      <c r="R20" s="1" t="s">
        <v>392</v>
      </c>
      <c r="S20" s="16" t="s">
        <v>396</v>
      </c>
    </row>
    <row r="21" spans="1:19" x14ac:dyDescent="0.4">
      <c r="A21" t="s">
        <v>224</v>
      </c>
      <c r="B21" s="4" t="s">
        <v>30</v>
      </c>
      <c r="C21" s="1"/>
      <c r="D21" s="13">
        <f>VALUE(_xlfn.TEXTBEFORE(UNIDADES[[#This Row],[UNIDADE]]," "))</f>
        <v>304</v>
      </c>
      <c r="E21" s="13" t="s">
        <v>361</v>
      </c>
      <c r="F21" s="4" t="s">
        <v>224</v>
      </c>
      <c r="G21" s="4" t="s">
        <v>370</v>
      </c>
      <c r="H21" s="4">
        <v>1</v>
      </c>
      <c r="I21" s="4">
        <v>1</v>
      </c>
      <c r="J21" s="13">
        <f>UNIDADES[[#This Row],[SUITES]]+UNIDADES[[#This Row],[QUARTOS]]</f>
        <v>2</v>
      </c>
      <c r="L21" s="4" t="s">
        <v>1</v>
      </c>
      <c r="M21" s="4" t="s">
        <v>190</v>
      </c>
      <c r="N21" s="1">
        <v>54.336053357361202</v>
      </c>
      <c r="O21" s="1">
        <v>3.2515621014301601</v>
      </c>
      <c r="P21" s="1">
        <v>0</v>
      </c>
      <c r="Q21" s="15">
        <f>UNIDADES[[#This Row],[AREA PADRAO]]+UNIDADES[[#This Row],[AREA TERRACO]]*0.5</f>
        <v>54.336053357361202</v>
      </c>
      <c r="R21" s="1" t="s">
        <v>393</v>
      </c>
      <c r="S21" s="1"/>
    </row>
    <row r="22" spans="1:19" x14ac:dyDescent="0.4">
      <c r="A22" t="s">
        <v>223</v>
      </c>
      <c r="B22" s="4" t="s">
        <v>30</v>
      </c>
      <c r="C22" s="1"/>
      <c r="D22" s="13">
        <f>VALUE(_xlfn.TEXTBEFORE(UNIDADES[[#This Row],[UNIDADE]]," "))</f>
        <v>305</v>
      </c>
      <c r="E22" s="13" t="s">
        <v>361</v>
      </c>
      <c r="F22" s="4" t="s">
        <v>223</v>
      </c>
      <c r="G22" s="4" t="s">
        <v>372</v>
      </c>
      <c r="H22" s="4">
        <v>1</v>
      </c>
      <c r="I22" s="4">
        <v>1</v>
      </c>
      <c r="J22" s="13">
        <f>UNIDADES[[#This Row],[SUITES]]+UNIDADES[[#This Row],[QUARTOS]]</f>
        <v>2</v>
      </c>
      <c r="K22" s="4" t="s">
        <v>189</v>
      </c>
      <c r="L22" s="4" t="s">
        <v>1</v>
      </c>
      <c r="M22" s="4" t="s">
        <v>190</v>
      </c>
      <c r="N22" s="1">
        <v>59.501049999999999</v>
      </c>
      <c r="O22" s="1">
        <v>4.6547749999998302</v>
      </c>
      <c r="P22" s="1">
        <v>0</v>
      </c>
      <c r="Q22" s="15">
        <f>UNIDADES[[#This Row],[AREA PADRAO]]+UNIDADES[[#This Row],[AREA TERRACO]]*0.5</f>
        <v>59.501049999999999</v>
      </c>
      <c r="R22" s="1" t="s">
        <v>393</v>
      </c>
      <c r="S22" s="1"/>
    </row>
    <row r="23" spans="1:19" x14ac:dyDescent="0.4">
      <c r="A23" t="s">
        <v>222</v>
      </c>
      <c r="B23" s="4" t="s">
        <v>30</v>
      </c>
      <c r="C23" s="1"/>
      <c r="D23" s="13">
        <f>VALUE(_xlfn.TEXTBEFORE(UNIDADES[[#This Row],[UNIDADE]]," "))</f>
        <v>306</v>
      </c>
      <c r="E23" s="13" t="s">
        <v>361</v>
      </c>
      <c r="F23" s="4" t="s">
        <v>222</v>
      </c>
      <c r="G23" s="4" t="s">
        <v>374</v>
      </c>
      <c r="H23" s="4">
        <v>1</v>
      </c>
      <c r="I23" s="4">
        <v>1</v>
      </c>
      <c r="J23" s="13">
        <f>UNIDADES[[#This Row],[SUITES]]+UNIDADES[[#This Row],[QUARTOS]]</f>
        <v>2</v>
      </c>
      <c r="K23" s="4" t="s">
        <v>189</v>
      </c>
      <c r="L23" s="4" t="s">
        <v>3</v>
      </c>
      <c r="M23" s="4" t="s">
        <v>191</v>
      </c>
      <c r="N23" s="1">
        <v>58.9135503202302</v>
      </c>
      <c r="O23" s="1">
        <v>4.5489749999994196</v>
      </c>
      <c r="P23" s="1">
        <v>0</v>
      </c>
      <c r="Q23" s="15">
        <f>UNIDADES[[#This Row],[AREA PADRAO]]+UNIDADES[[#This Row],[AREA TERRACO]]*0.5</f>
        <v>58.9135503202302</v>
      </c>
      <c r="R23" s="1" t="s">
        <v>393</v>
      </c>
      <c r="S23" s="1"/>
    </row>
    <row r="24" spans="1:19" x14ac:dyDescent="0.4">
      <c r="A24" t="s">
        <v>334</v>
      </c>
      <c r="B24" s="4" t="s">
        <v>30</v>
      </c>
      <c r="C24" s="1"/>
      <c r="D24" s="13">
        <f>VALUE(_xlfn.TEXTBEFORE(UNIDADES[[#This Row],[UNIDADE]]," "))</f>
        <v>307</v>
      </c>
      <c r="E24" s="13" t="s">
        <v>361</v>
      </c>
      <c r="F24" s="4" t="s">
        <v>334</v>
      </c>
      <c r="G24" s="4" t="s">
        <v>376</v>
      </c>
      <c r="H24" s="4">
        <v>1</v>
      </c>
      <c r="I24" s="4">
        <v>1</v>
      </c>
      <c r="J24" s="13">
        <f>UNIDADES[[#This Row],[SUITES]]+UNIDADES[[#This Row],[QUARTOS]]</f>
        <v>2</v>
      </c>
      <c r="L24" s="4" t="s">
        <v>3</v>
      </c>
      <c r="M24" s="4" t="s">
        <v>191</v>
      </c>
      <c r="N24" s="1">
        <v>48.331200057960999</v>
      </c>
      <c r="O24" s="1">
        <v>3.04200000000001</v>
      </c>
      <c r="P24" s="1">
        <v>0</v>
      </c>
      <c r="Q24" s="15">
        <f>UNIDADES[[#This Row],[AREA PADRAO]]+UNIDADES[[#This Row],[AREA TERRACO]]*0.5</f>
        <v>48.331200057960999</v>
      </c>
      <c r="R24" s="1" t="s">
        <v>393</v>
      </c>
      <c r="S24" s="1"/>
    </row>
    <row r="25" spans="1:19" x14ac:dyDescent="0.4">
      <c r="A25" t="s">
        <v>335</v>
      </c>
      <c r="B25" s="4" t="s">
        <v>30</v>
      </c>
      <c r="C25" s="1"/>
      <c r="D25" s="13">
        <f>VALUE(_xlfn.TEXTBEFORE(UNIDADES[[#This Row],[UNIDADE]]," "))</f>
        <v>308</v>
      </c>
      <c r="E25" s="13" t="s">
        <v>361</v>
      </c>
      <c r="F25" s="4" t="s">
        <v>335</v>
      </c>
      <c r="G25" s="4" t="s">
        <v>377</v>
      </c>
      <c r="H25" s="4">
        <v>1</v>
      </c>
      <c r="I25" s="4">
        <v>1</v>
      </c>
      <c r="J25" s="13">
        <f>UNIDADES[[#This Row],[SUITES]]+UNIDADES[[#This Row],[QUARTOS]]</f>
        <v>2</v>
      </c>
      <c r="L25" s="4" t="s">
        <v>3</v>
      </c>
      <c r="M25" s="4" t="s">
        <v>191</v>
      </c>
      <c r="N25" s="1">
        <v>49.052399941747503</v>
      </c>
      <c r="O25" s="1">
        <v>2.3317999999998298</v>
      </c>
      <c r="P25" s="1">
        <v>0</v>
      </c>
      <c r="Q25" s="15">
        <f>UNIDADES[[#This Row],[AREA PADRAO]]+UNIDADES[[#This Row],[AREA TERRACO]]*0.5</f>
        <v>49.052399941747503</v>
      </c>
      <c r="R25" s="1" t="s">
        <v>393</v>
      </c>
      <c r="S25" s="1"/>
    </row>
    <row r="26" spans="1:19" x14ac:dyDescent="0.4">
      <c r="A26" t="s">
        <v>336</v>
      </c>
      <c r="B26" s="4" t="s">
        <v>30</v>
      </c>
      <c r="C26" s="1"/>
      <c r="D26" s="13">
        <f>VALUE(_xlfn.TEXTBEFORE(UNIDADES[[#This Row],[UNIDADE]]," "))</f>
        <v>309</v>
      </c>
      <c r="E26" s="13" t="s">
        <v>361</v>
      </c>
      <c r="F26" s="4" t="s">
        <v>336</v>
      </c>
      <c r="G26" s="4" t="s">
        <v>378</v>
      </c>
      <c r="H26" s="4">
        <v>1</v>
      </c>
      <c r="I26" s="4">
        <v>1</v>
      </c>
      <c r="J26" s="13">
        <f>UNIDADES[[#This Row],[SUITES]]+UNIDADES[[#This Row],[QUARTOS]]</f>
        <v>2</v>
      </c>
      <c r="L26" s="4" t="s">
        <v>3</v>
      </c>
      <c r="M26" s="4" t="s">
        <v>191</v>
      </c>
      <c r="N26" s="1">
        <v>57.580400001903698</v>
      </c>
      <c r="O26" s="1">
        <v>3.4512616588337699</v>
      </c>
      <c r="P26" s="1">
        <v>0</v>
      </c>
      <c r="Q26" s="15">
        <f>UNIDADES[[#This Row],[AREA PADRAO]]+UNIDADES[[#This Row],[AREA TERRACO]]*0.5</f>
        <v>57.580400001903698</v>
      </c>
      <c r="R26" s="1" t="s">
        <v>393</v>
      </c>
      <c r="S26" s="1"/>
    </row>
    <row r="27" spans="1:19" x14ac:dyDescent="0.4">
      <c r="A27" t="s">
        <v>282</v>
      </c>
      <c r="B27" s="4" t="s">
        <v>40</v>
      </c>
      <c r="C27" s="1"/>
      <c r="D27" s="13">
        <f>VALUE(_xlfn.TEXTBEFORE(UNIDADES[[#This Row],[UNIDADE]]," "))</f>
        <v>401</v>
      </c>
      <c r="E27" s="13" t="s">
        <v>361</v>
      </c>
      <c r="F27" s="4" t="s">
        <v>228</v>
      </c>
      <c r="G27" s="4" t="s">
        <v>364</v>
      </c>
      <c r="H27" s="4">
        <v>3</v>
      </c>
      <c r="I27" s="4">
        <v>0</v>
      </c>
      <c r="J27" s="13">
        <f>UNIDADES[[#This Row],[SUITES]]+UNIDADES[[#This Row],[QUARTOS]]</f>
        <v>3</v>
      </c>
      <c r="K27" s="4" t="s">
        <v>188</v>
      </c>
      <c r="L27" s="4" t="s">
        <v>3</v>
      </c>
      <c r="M27" s="4" t="s">
        <v>191</v>
      </c>
      <c r="N27" s="1">
        <v>107.76375755900401</v>
      </c>
      <c r="O27" s="1">
        <v>6.81024999533639</v>
      </c>
      <c r="P27" s="1">
        <v>0</v>
      </c>
      <c r="Q27" s="15">
        <f>UNIDADES[[#This Row],[AREA PADRAO]]+UNIDADES[[#This Row],[AREA TERRACO]]*0.5</f>
        <v>107.76375755900401</v>
      </c>
      <c r="R27" s="1" t="s">
        <v>390</v>
      </c>
      <c r="S27" s="16" t="s">
        <v>396</v>
      </c>
    </row>
    <row r="28" spans="1:19" x14ac:dyDescent="0.4">
      <c r="A28" t="s">
        <v>281</v>
      </c>
      <c r="B28" s="4" t="s">
        <v>40</v>
      </c>
      <c r="C28" s="1"/>
      <c r="D28" s="13">
        <f>VALUE(_xlfn.TEXTBEFORE(UNIDADES[[#This Row],[UNIDADE]]," "))</f>
        <v>402</v>
      </c>
      <c r="E28" s="13" t="s">
        <v>361</v>
      </c>
      <c r="F28" s="4" t="s">
        <v>229</v>
      </c>
      <c r="G28" s="4" t="s">
        <v>366</v>
      </c>
      <c r="H28" s="4">
        <v>3</v>
      </c>
      <c r="I28" s="4">
        <v>0</v>
      </c>
      <c r="J28" s="13">
        <f>UNIDADES[[#This Row],[SUITES]]+UNIDADES[[#This Row],[QUARTOS]]</f>
        <v>3</v>
      </c>
      <c r="K28" s="4" t="s">
        <v>188</v>
      </c>
      <c r="L28" s="4" t="s">
        <v>1</v>
      </c>
      <c r="M28" s="4" t="s">
        <v>190</v>
      </c>
      <c r="N28" s="1">
        <v>107.333257557005</v>
      </c>
      <c r="O28" s="1">
        <v>4.0860000000002303</v>
      </c>
      <c r="P28" s="1">
        <v>0</v>
      </c>
      <c r="Q28" s="15">
        <f>UNIDADES[[#This Row],[AREA PADRAO]]+UNIDADES[[#This Row],[AREA TERRACO]]*0.5</f>
        <v>107.333257557005</v>
      </c>
      <c r="R28" s="1" t="s">
        <v>390</v>
      </c>
      <c r="S28" s="16" t="s">
        <v>396</v>
      </c>
    </row>
    <row r="29" spans="1:19" x14ac:dyDescent="0.4">
      <c r="A29" t="s">
        <v>280</v>
      </c>
      <c r="B29" s="4" t="s">
        <v>40</v>
      </c>
      <c r="C29" s="1"/>
      <c r="D29" s="13">
        <f>VALUE(_xlfn.TEXTBEFORE(UNIDADES[[#This Row],[UNIDADE]]," "))</f>
        <v>403</v>
      </c>
      <c r="E29" s="13" t="s">
        <v>361</v>
      </c>
      <c r="F29" s="4" t="s">
        <v>230</v>
      </c>
      <c r="G29" s="4" t="s">
        <v>368</v>
      </c>
      <c r="H29" s="4">
        <v>3</v>
      </c>
      <c r="I29" s="4">
        <v>0</v>
      </c>
      <c r="J29" s="13">
        <f>UNIDADES[[#This Row],[SUITES]]+UNIDADES[[#This Row],[QUARTOS]]</f>
        <v>3</v>
      </c>
      <c r="L29" s="4" t="s">
        <v>1</v>
      </c>
      <c r="M29" s="4" t="s">
        <v>190</v>
      </c>
      <c r="N29" s="1">
        <v>75.988299987721106</v>
      </c>
      <c r="O29" s="1">
        <v>5.5006999999998696</v>
      </c>
      <c r="P29" s="1">
        <v>0</v>
      </c>
      <c r="Q29" s="15">
        <f>UNIDADES[[#This Row],[AREA PADRAO]]+UNIDADES[[#This Row],[AREA TERRACO]]*0.5</f>
        <v>75.988299987721106</v>
      </c>
      <c r="R29" s="1" t="s">
        <v>392</v>
      </c>
      <c r="S29" s="16" t="s">
        <v>396</v>
      </c>
    </row>
    <row r="30" spans="1:19" x14ac:dyDescent="0.4">
      <c r="A30" t="s">
        <v>279</v>
      </c>
      <c r="B30" s="4" t="s">
        <v>40</v>
      </c>
      <c r="C30" s="1"/>
      <c r="D30" s="13">
        <f>VALUE(_xlfn.TEXTBEFORE(UNIDADES[[#This Row],[UNIDADE]]," "))</f>
        <v>404</v>
      </c>
      <c r="E30" s="13" t="s">
        <v>361</v>
      </c>
      <c r="F30" s="4" t="s">
        <v>231</v>
      </c>
      <c r="G30" s="4" t="s">
        <v>370</v>
      </c>
      <c r="H30" s="4">
        <v>1</v>
      </c>
      <c r="I30" s="4">
        <v>1</v>
      </c>
      <c r="J30" s="13">
        <f>UNIDADES[[#This Row],[SUITES]]+UNIDADES[[#This Row],[QUARTOS]]</f>
        <v>2</v>
      </c>
      <c r="L30" s="4" t="s">
        <v>1</v>
      </c>
      <c r="M30" s="4" t="s">
        <v>190</v>
      </c>
      <c r="N30" s="1">
        <v>54.312999998096998</v>
      </c>
      <c r="O30" s="1">
        <v>3.0779999942888701</v>
      </c>
      <c r="P30" s="1">
        <v>0</v>
      </c>
      <c r="Q30" s="15">
        <f>UNIDADES[[#This Row],[AREA PADRAO]]+UNIDADES[[#This Row],[AREA TERRACO]]*0.5</f>
        <v>54.312999998096998</v>
      </c>
      <c r="R30" s="1" t="s">
        <v>393</v>
      </c>
      <c r="S30" s="1"/>
    </row>
    <row r="31" spans="1:19" x14ac:dyDescent="0.4">
      <c r="A31" t="s">
        <v>278</v>
      </c>
      <c r="B31" s="4" t="s">
        <v>40</v>
      </c>
      <c r="C31" s="1"/>
      <c r="D31" s="13">
        <f>VALUE(_xlfn.TEXTBEFORE(UNIDADES[[#This Row],[UNIDADE]]," "))</f>
        <v>405</v>
      </c>
      <c r="E31" s="13" t="s">
        <v>361</v>
      </c>
      <c r="F31" s="4" t="s">
        <v>232</v>
      </c>
      <c r="G31" s="4" t="s">
        <v>372</v>
      </c>
      <c r="H31" s="4">
        <v>1</v>
      </c>
      <c r="I31" s="4">
        <v>1</v>
      </c>
      <c r="J31" s="13">
        <f>UNIDADES[[#This Row],[SUITES]]+UNIDADES[[#This Row],[QUARTOS]]</f>
        <v>2</v>
      </c>
      <c r="K31" s="4" t="s">
        <v>189</v>
      </c>
      <c r="L31" s="4" t="s">
        <v>1</v>
      </c>
      <c r="M31" s="4" t="s">
        <v>190</v>
      </c>
      <c r="N31" s="1">
        <v>59.500987689683299</v>
      </c>
      <c r="O31" s="1">
        <v>4.6546370784516995</v>
      </c>
      <c r="P31" s="1">
        <v>0</v>
      </c>
      <c r="Q31" s="15">
        <f>UNIDADES[[#This Row],[AREA PADRAO]]+UNIDADES[[#This Row],[AREA TERRACO]]*0.5</f>
        <v>59.500987689683299</v>
      </c>
      <c r="R31" s="1" t="s">
        <v>393</v>
      </c>
      <c r="S31" s="1"/>
    </row>
    <row r="32" spans="1:19" x14ac:dyDescent="0.4">
      <c r="A32" t="s">
        <v>277</v>
      </c>
      <c r="B32" s="4" t="s">
        <v>40</v>
      </c>
      <c r="C32" s="1"/>
      <c r="D32" s="13">
        <f>VALUE(_xlfn.TEXTBEFORE(UNIDADES[[#This Row],[UNIDADE]]," "))</f>
        <v>406</v>
      </c>
      <c r="E32" s="13" t="s">
        <v>361</v>
      </c>
      <c r="F32" s="4" t="s">
        <v>233</v>
      </c>
      <c r="G32" s="4" t="s">
        <v>374</v>
      </c>
      <c r="H32" s="4">
        <v>1</v>
      </c>
      <c r="I32" s="4">
        <v>1</v>
      </c>
      <c r="J32" s="13">
        <f>UNIDADES[[#This Row],[SUITES]]+UNIDADES[[#This Row],[QUARTOS]]</f>
        <v>2</v>
      </c>
      <c r="K32" s="4" t="s">
        <v>189</v>
      </c>
      <c r="L32" s="4" t="s">
        <v>3</v>
      </c>
      <c r="M32" s="4" t="s">
        <v>191</v>
      </c>
      <c r="N32" s="1">
        <v>58.913550312519497</v>
      </c>
      <c r="O32" s="1">
        <v>4.5489749967164101</v>
      </c>
      <c r="P32" s="1">
        <v>0</v>
      </c>
      <c r="Q32" s="15">
        <f>UNIDADES[[#This Row],[AREA PADRAO]]+UNIDADES[[#This Row],[AREA TERRACO]]*0.5</f>
        <v>58.913550312519497</v>
      </c>
      <c r="R32" s="1" t="s">
        <v>393</v>
      </c>
      <c r="S32" s="1"/>
    </row>
    <row r="33" spans="1:19" x14ac:dyDescent="0.4">
      <c r="A33" t="s">
        <v>337</v>
      </c>
      <c r="B33" s="4" t="s">
        <v>40</v>
      </c>
      <c r="C33" s="1"/>
      <c r="D33" s="13">
        <f>VALUE(_xlfn.TEXTBEFORE(UNIDADES[[#This Row],[UNIDADE]]," "))</f>
        <v>407</v>
      </c>
      <c r="E33" s="13" t="s">
        <v>361</v>
      </c>
      <c r="F33" s="4" t="s">
        <v>331</v>
      </c>
      <c r="G33" s="4" t="s">
        <v>376</v>
      </c>
      <c r="H33" s="4">
        <v>1</v>
      </c>
      <c r="I33" s="4">
        <v>1</v>
      </c>
      <c r="J33" s="13">
        <f>UNIDADES[[#This Row],[SUITES]]+UNIDADES[[#This Row],[QUARTOS]]</f>
        <v>2</v>
      </c>
      <c r="L33" s="4" t="s">
        <v>3</v>
      </c>
      <c r="M33" s="4" t="s">
        <v>191</v>
      </c>
      <c r="N33" s="1">
        <v>48.827200057960503</v>
      </c>
      <c r="O33" s="1">
        <v>4.5120000000001603</v>
      </c>
      <c r="P33" s="1">
        <v>0</v>
      </c>
      <c r="Q33" s="15">
        <f>UNIDADES[[#This Row],[AREA PADRAO]]+UNIDADES[[#This Row],[AREA TERRACO]]*0.5</f>
        <v>48.827200057960503</v>
      </c>
      <c r="R33" s="1" t="s">
        <v>393</v>
      </c>
      <c r="S33" s="1"/>
    </row>
    <row r="34" spans="1:19" x14ac:dyDescent="0.4">
      <c r="A34" t="s">
        <v>338</v>
      </c>
      <c r="B34" s="4" t="s">
        <v>40</v>
      </c>
      <c r="C34" s="1"/>
      <c r="D34" s="13">
        <f>VALUE(_xlfn.TEXTBEFORE(UNIDADES[[#This Row],[UNIDADE]]," "))</f>
        <v>408</v>
      </c>
      <c r="E34" s="13" t="s">
        <v>361</v>
      </c>
      <c r="F34" s="4" t="s">
        <v>332</v>
      </c>
      <c r="G34" s="4" t="s">
        <v>377</v>
      </c>
      <c r="H34" s="4">
        <v>1</v>
      </c>
      <c r="I34" s="4">
        <v>1</v>
      </c>
      <c r="J34" s="13">
        <f>UNIDADES[[#This Row],[SUITES]]+UNIDADES[[#This Row],[QUARTOS]]</f>
        <v>2</v>
      </c>
      <c r="L34" s="4" t="s">
        <v>3</v>
      </c>
      <c r="M34" s="4" t="s">
        <v>191</v>
      </c>
      <c r="N34" s="1">
        <v>48.566399941747498</v>
      </c>
      <c r="O34" s="1">
        <v>2.2630162639399498</v>
      </c>
      <c r="P34" s="1">
        <v>0</v>
      </c>
      <c r="Q34" s="15">
        <f>UNIDADES[[#This Row],[AREA PADRAO]]+UNIDADES[[#This Row],[AREA TERRACO]]*0.5</f>
        <v>48.566399941747498</v>
      </c>
      <c r="R34" s="1" t="s">
        <v>393</v>
      </c>
      <c r="S34" s="1"/>
    </row>
    <row r="35" spans="1:19" x14ac:dyDescent="0.4">
      <c r="A35" t="s">
        <v>339</v>
      </c>
      <c r="B35" s="4" t="s">
        <v>40</v>
      </c>
      <c r="C35" s="1"/>
      <c r="D35" s="13">
        <f>VALUE(_xlfn.TEXTBEFORE(UNIDADES[[#This Row],[UNIDADE]]," "))</f>
        <v>409</v>
      </c>
      <c r="E35" s="13" t="s">
        <v>361</v>
      </c>
      <c r="F35" s="4" t="s">
        <v>333</v>
      </c>
      <c r="G35" s="4" t="s">
        <v>378</v>
      </c>
      <c r="H35" s="4">
        <v>1</v>
      </c>
      <c r="I35" s="4">
        <v>1</v>
      </c>
      <c r="J35" s="13">
        <f>UNIDADES[[#This Row],[SUITES]]+UNIDADES[[#This Row],[QUARTOS]]</f>
        <v>2</v>
      </c>
      <c r="L35" s="4" t="s">
        <v>3</v>
      </c>
      <c r="M35" s="4" t="s">
        <v>191</v>
      </c>
      <c r="N35" s="1">
        <v>56.968400000000202</v>
      </c>
      <c r="O35" s="1">
        <v>2.7474655278330302</v>
      </c>
      <c r="P35" s="1">
        <v>0</v>
      </c>
      <c r="Q35" s="15">
        <f>UNIDADES[[#This Row],[AREA PADRAO]]+UNIDADES[[#This Row],[AREA TERRACO]]*0.5</f>
        <v>56.968400000000202</v>
      </c>
      <c r="R35" s="1" t="s">
        <v>393</v>
      </c>
      <c r="S35" s="1"/>
    </row>
    <row r="36" spans="1:19" x14ac:dyDescent="0.4">
      <c r="A36" t="s">
        <v>195</v>
      </c>
      <c r="B36" s="4" t="s">
        <v>50</v>
      </c>
      <c r="C36" s="1"/>
      <c r="D36" s="13">
        <f>VALUE(_xlfn.TEXTBEFORE(UNIDADES[[#This Row],[UNIDADE]]," "))</f>
        <v>501</v>
      </c>
      <c r="E36" s="13" t="s">
        <v>361</v>
      </c>
      <c r="F36" s="4" t="s">
        <v>227</v>
      </c>
      <c r="G36" s="4" t="s">
        <v>364</v>
      </c>
      <c r="H36" s="4">
        <v>3</v>
      </c>
      <c r="I36" s="4">
        <v>0</v>
      </c>
      <c r="J36" s="13">
        <f>UNIDADES[[#This Row],[SUITES]]+UNIDADES[[#This Row],[QUARTOS]]</f>
        <v>3</v>
      </c>
      <c r="K36" s="4" t="s">
        <v>188</v>
      </c>
      <c r="L36" s="4" t="s">
        <v>3</v>
      </c>
      <c r="M36" s="4" t="s">
        <v>191</v>
      </c>
      <c r="N36" s="1">
        <v>106.93295755635</v>
      </c>
      <c r="O36" s="1">
        <v>4.0763124858182396</v>
      </c>
      <c r="P36" s="1">
        <v>0</v>
      </c>
      <c r="Q36" s="15">
        <f>UNIDADES[[#This Row],[AREA PADRAO]]+UNIDADES[[#This Row],[AREA TERRACO]]*0.5</f>
        <v>106.93295755635</v>
      </c>
      <c r="R36" s="1" t="s">
        <v>390</v>
      </c>
      <c r="S36" s="16" t="s">
        <v>396</v>
      </c>
    </row>
    <row r="37" spans="1:19" x14ac:dyDescent="0.4">
      <c r="A37" t="s">
        <v>196</v>
      </c>
      <c r="B37" s="4" t="s">
        <v>50</v>
      </c>
      <c r="C37" s="1"/>
      <c r="D37" s="13">
        <f>VALUE(_xlfn.TEXTBEFORE(UNIDADES[[#This Row],[UNIDADE]]," "))</f>
        <v>502</v>
      </c>
      <c r="E37" s="13" t="s">
        <v>361</v>
      </c>
      <c r="F37" s="4" t="s">
        <v>226</v>
      </c>
      <c r="G37" s="4" t="s">
        <v>366</v>
      </c>
      <c r="H37" s="4">
        <v>3</v>
      </c>
      <c r="I37" s="4">
        <v>0</v>
      </c>
      <c r="J37" s="13">
        <f>UNIDADES[[#This Row],[SUITES]]+UNIDADES[[#This Row],[QUARTOS]]</f>
        <v>3</v>
      </c>
      <c r="K37" s="4" t="s">
        <v>188</v>
      </c>
      <c r="L37" s="4" t="s">
        <v>1</v>
      </c>
      <c r="M37" s="4" t="s">
        <v>190</v>
      </c>
      <c r="N37" s="1">
        <v>107.136657558349</v>
      </c>
      <c r="O37" s="1">
        <v>3.5340000000001601</v>
      </c>
      <c r="P37" s="1">
        <v>0</v>
      </c>
      <c r="Q37" s="15">
        <f>UNIDADES[[#This Row],[AREA PADRAO]]+UNIDADES[[#This Row],[AREA TERRACO]]*0.5</f>
        <v>107.136657558349</v>
      </c>
      <c r="R37" s="1" t="s">
        <v>390</v>
      </c>
      <c r="S37" s="16" t="s">
        <v>396</v>
      </c>
    </row>
    <row r="38" spans="1:19" x14ac:dyDescent="0.4">
      <c r="A38" t="s">
        <v>197</v>
      </c>
      <c r="B38" s="4" t="s">
        <v>50</v>
      </c>
      <c r="C38" s="1"/>
      <c r="D38" s="13">
        <f>VALUE(_xlfn.TEXTBEFORE(UNIDADES[[#This Row],[UNIDADE]]," "))</f>
        <v>503</v>
      </c>
      <c r="E38" s="13" t="s">
        <v>361</v>
      </c>
      <c r="F38" s="4" t="s">
        <v>225</v>
      </c>
      <c r="G38" s="4" t="s">
        <v>368</v>
      </c>
      <c r="H38" s="4">
        <v>3</v>
      </c>
      <c r="I38" s="4">
        <v>0</v>
      </c>
      <c r="J38" s="13">
        <f>UNIDADES[[#This Row],[SUITES]]+UNIDADES[[#This Row],[QUARTOS]]</f>
        <v>3</v>
      </c>
      <c r="L38" s="4" t="s">
        <v>1</v>
      </c>
      <c r="M38" s="4" t="s">
        <v>190</v>
      </c>
      <c r="N38" s="1">
        <v>75.256824991647093</v>
      </c>
      <c r="O38" s="1">
        <v>6.0660614415009197</v>
      </c>
      <c r="P38" s="1">
        <v>0</v>
      </c>
      <c r="Q38" s="15">
        <f>UNIDADES[[#This Row],[AREA PADRAO]]+UNIDADES[[#This Row],[AREA TERRACO]]*0.5</f>
        <v>75.256824991647093</v>
      </c>
      <c r="R38" s="1" t="s">
        <v>392</v>
      </c>
      <c r="S38" s="16" t="s">
        <v>396</v>
      </c>
    </row>
    <row r="39" spans="1:19" x14ac:dyDescent="0.4">
      <c r="A39" t="s">
        <v>198</v>
      </c>
      <c r="B39" s="4" t="s">
        <v>50</v>
      </c>
      <c r="C39" s="1"/>
      <c r="D39" s="13">
        <f>VALUE(_xlfn.TEXTBEFORE(UNIDADES[[#This Row],[UNIDADE]]," "))</f>
        <v>504</v>
      </c>
      <c r="E39" s="13" t="s">
        <v>361</v>
      </c>
      <c r="F39" s="4" t="s">
        <v>224</v>
      </c>
      <c r="G39" s="4" t="s">
        <v>370</v>
      </c>
      <c r="H39" s="4">
        <v>1</v>
      </c>
      <c r="I39" s="4">
        <v>1</v>
      </c>
      <c r="J39" s="13">
        <f>UNIDADES[[#This Row],[SUITES]]+UNIDADES[[#This Row],[QUARTOS]]</f>
        <v>2</v>
      </c>
      <c r="L39" s="4" t="s">
        <v>1</v>
      </c>
      <c r="M39" s="4" t="s">
        <v>190</v>
      </c>
      <c r="N39" s="1">
        <v>54.336053357361202</v>
      </c>
      <c r="O39" s="1">
        <v>3.2515621014301601</v>
      </c>
      <c r="P39" s="1">
        <v>0</v>
      </c>
      <c r="Q39" s="15">
        <f>UNIDADES[[#This Row],[AREA PADRAO]]+UNIDADES[[#This Row],[AREA TERRACO]]*0.5</f>
        <v>54.336053357361202</v>
      </c>
      <c r="R39" s="1" t="s">
        <v>393</v>
      </c>
      <c r="S39" s="1"/>
    </row>
    <row r="40" spans="1:19" x14ac:dyDescent="0.4">
      <c r="A40" t="s">
        <v>199</v>
      </c>
      <c r="B40" s="4" t="s">
        <v>50</v>
      </c>
      <c r="C40" s="1"/>
      <c r="D40" s="13">
        <f>VALUE(_xlfn.TEXTBEFORE(UNIDADES[[#This Row],[UNIDADE]]," "))</f>
        <v>505</v>
      </c>
      <c r="E40" s="13" t="s">
        <v>361</v>
      </c>
      <c r="F40" s="4" t="s">
        <v>223</v>
      </c>
      <c r="G40" s="4" t="s">
        <v>372</v>
      </c>
      <c r="H40" s="4">
        <v>1</v>
      </c>
      <c r="I40" s="4">
        <v>1</v>
      </c>
      <c r="J40" s="13">
        <f>UNIDADES[[#This Row],[SUITES]]+UNIDADES[[#This Row],[QUARTOS]]</f>
        <v>2</v>
      </c>
      <c r="K40" s="4" t="s">
        <v>189</v>
      </c>
      <c r="L40" s="4" t="s">
        <v>1</v>
      </c>
      <c r="M40" s="4" t="s">
        <v>190</v>
      </c>
      <c r="N40" s="1">
        <v>59.501049999999999</v>
      </c>
      <c r="O40" s="1">
        <v>4.6547749999998302</v>
      </c>
      <c r="P40" s="1">
        <v>0</v>
      </c>
      <c r="Q40" s="15">
        <f>UNIDADES[[#This Row],[AREA PADRAO]]+UNIDADES[[#This Row],[AREA TERRACO]]*0.5</f>
        <v>59.501049999999999</v>
      </c>
      <c r="R40" s="1" t="s">
        <v>393</v>
      </c>
      <c r="S40" s="1"/>
    </row>
    <row r="41" spans="1:19" x14ac:dyDescent="0.4">
      <c r="A41" t="s">
        <v>200</v>
      </c>
      <c r="B41" s="4" t="s">
        <v>50</v>
      </c>
      <c r="C41" s="1"/>
      <c r="D41" s="13">
        <f>VALUE(_xlfn.TEXTBEFORE(UNIDADES[[#This Row],[UNIDADE]]," "))</f>
        <v>506</v>
      </c>
      <c r="E41" s="13" t="s">
        <v>361</v>
      </c>
      <c r="F41" s="4" t="s">
        <v>222</v>
      </c>
      <c r="G41" s="4" t="s">
        <v>374</v>
      </c>
      <c r="H41" s="4">
        <v>1</v>
      </c>
      <c r="I41" s="4">
        <v>1</v>
      </c>
      <c r="J41" s="13">
        <f>UNIDADES[[#This Row],[SUITES]]+UNIDADES[[#This Row],[QUARTOS]]</f>
        <v>2</v>
      </c>
      <c r="K41" s="4" t="s">
        <v>189</v>
      </c>
      <c r="L41" s="4" t="s">
        <v>3</v>
      </c>
      <c r="M41" s="4" t="s">
        <v>191</v>
      </c>
      <c r="N41" s="1">
        <v>58.9135503202302</v>
      </c>
      <c r="O41" s="1">
        <v>4.5489749999994196</v>
      </c>
      <c r="P41" s="1">
        <v>0</v>
      </c>
      <c r="Q41" s="15">
        <f>UNIDADES[[#This Row],[AREA PADRAO]]+UNIDADES[[#This Row],[AREA TERRACO]]*0.5</f>
        <v>58.9135503202302</v>
      </c>
      <c r="R41" s="1" t="s">
        <v>393</v>
      </c>
      <c r="S41" s="1"/>
    </row>
    <row r="42" spans="1:19" x14ac:dyDescent="0.4">
      <c r="A42" t="s">
        <v>340</v>
      </c>
      <c r="B42" s="4" t="s">
        <v>50</v>
      </c>
      <c r="C42" s="1"/>
      <c r="D42" s="13">
        <f>VALUE(_xlfn.TEXTBEFORE(UNIDADES[[#This Row],[UNIDADE]]," "))</f>
        <v>507</v>
      </c>
      <c r="E42" s="13" t="s">
        <v>361</v>
      </c>
      <c r="F42" s="4" t="s">
        <v>334</v>
      </c>
      <c r="G42" s="4" t="s">
        <v>376</v>
      </c>
      <c r="H42" s="4">
        <v>1</v>
      </c>
      <c r="I42" s="4">
        <v>1</v>
      </c>
      <c r="J42" s="13">
        <f>UNIDADES[[#This Row],[SUITES]]+UNIDADES[[#This Row],[QUARTOS]]</f>
        <v>2</v>
      </c>
      <c r="L42" s="4" t="s">
        <v>3</v>
      </c>
      <c r="M42" s="4" t="s">
        <v>191</v>
      </c>
      <c r="N42" s="1">
        <v>48.331200057960999</v>
      </c>
      <c r="O42" s="1">
        <v>3.04200000000001</v>
      </c>
      <c r="P42" s="1">
        <v>0</v>
      </c>
      <c r="Q42" s="15">
        <f>UNIDADES[[#This Row],[AREA PADRAO]]+UNIDADES[[#This Row],[AREA TERRACO]]*0.5</f>
        <v>48.331200057960999</v>
      </c>
      <c r="R42" s="1" t="s">
        <v>393</v>
      </c>
      <c r="S42" s="1"/>
    </row>
    <row r="43" spans="1:19" x14ac:dyDescent="0.4">
      <c r="A43" t="s">
        <v>341</v>
      </c>
      <c r="B43" s="4" t="s">
        <v>50</v>
      </c>
      <c r="C43" s="1"/>
      <c r="D43" s="13">
        <f>VALUE(_xlfn.TEXTBEFORE(UNIDADES[[#This Row],[UNIDADE]]," "))</f>
        <v>508</v>
      </c>
      <c r="E43" s="13" t="s">
        <v>361</v>
      </c>
      <c r="F43" s="4" t="s">
        <v>335</v>
      </c>
      <c r="G43" s="4" t="s">
        <v>377</v>
      </c>
      <c r="H43" s="4">
        <v>1</v>
      </c>
      <c r="I43" s="4">
        <v>1</v>
      </c>
      <c r="J43" s="13">
        <f>UNIDADES[[#This Row],[SUITES]]+UNIDADES[[#This Row],[QUARTOS]]</f>
        <v>2</v>
      </c>
      <c r="L43" s="4" t="s">
        <v>3</v>
      </c>
      <c r="M43" s="4" t="s">
        <v>191</v>
      </c>
      <c r="N43" s="1">
        <v>49.052399941747503</v>
      </c>
      <c r="O43" s="1">
        <v>2.3317999999998298</v>
      </c>
      <c r="P43" s="1">
        <v>0</v>
      </c>
      <c r="Q43" s="15">
        <f>UNIDADES[[#This Row],[AREA PADRAO]]+UNIDADES[[#This Row],[AREA TERRACO]]*0.5</f>
        <v>49.052399941747503</v>
      </c>
      <c r="R43" s="1" t="s">
        <v>393</v>
      </c>
      <c r="S43" s="1"/>
    </row>
    <row r="44" spans="1:19" x14ac:dyDescent="0.4">
      <c r="A44" t="s">
        <v>342</v>
      </c>
      <c r="B44" s="4" t="s">
        <v>50</v>
      </c>
      <c r="C44" s="1"/>
      <c r="D44" s="13">
        <f>VALUE(_xlfn.TEXTBEFORE(UNIDADES[[#This Row],[UNIDADE]]," "))</f>
        <v>509</v>
      </c>
      <c r="E44" s="13" t="s">
        <v>361</v>
      </c>
      <c r="F44" s="4" t="s">
        <v>336</v>
      </c>
      <c r="G44" s="4" t="s">
        <v>378</v>
      </c>
      <c r="H44" s="4">
        <v>1</v>
      </c>
      <c r="I44" s="4">
        <v>1</v>
      </c>
      <c r="J44" s="13">
        <f>UNIDADES[[#This Row],[SUITES]]+UNIDADES[[#This Row],[QUARTOS]]</f>
        <v>2</v>
      </c>
      <c r="L44" s="4" t="s">
        <v>3</v>
      </c>
      <c r="M44" s="4" t="s">
        <v>191</v>
      </c>
      <c r="N44" s="1">
        <v>57.580400001903698</v>
      </c>
      <c r="O44" s="1">
        <v>3.4512616588337699</v>
      </c>
      <c r="P44" s="1">
        <v>0</v>
      </c>
      <c r="Q44" s="15">
        <f>UNIDADES[[#This Row],[AREA PADRAO]]+UNIDADES[[#This Row],[AREA TERRACO]]*0.5</f>
        <v>57.580400001903698</v>
      </c>
      <c r="R44" s="1" t="s">
        <v>393</v>
      </c>
      <c r="S44" s="1"/>
    </row>
    <row r="45" spans="1:19" x14ac:dyDescent="0.4">
      <c r="A45" t="s">
        <v>201</v>
      </c>
      <c r="B45" s="4" t="s">
        <v>60</v>
      </c>
      <c r="C45" s="1"/>
      <c r="D45" s="13">
        <f>VALUE(_xlfn.TEXTBEFORE(UNIDADES[[#This Row],[UNIDADE]]," "))</f>
        <v>601</v>
      </c>
      <c r="E45" s="13" t="s">
        <v>361</v>
      </c>
      <c r="F45" s="4" t="s">
        <v>228</v>
      </c>
      <c r="G45" s="4" t="s">
        <v>364</v>
      </c>
      <c r="H45" s="4">
        <v>3</v>
      </c>
      <c r="I45" s="4">
        <v>0</v>
      </c>
      <c r="J45" s="13">
        <f>UNIDADES[[#This Row],[SUITES]]+UNIDADES[[#This Row],[QUARTOS]]</f>
        <v>3</v>
      </c>
      <c r="K45" s="4" t="s">
        <v>188</v>
      </c>
      <c r="L45" s="4" t="s">
        <v>3</v>
      </c>
      <c r="M45" s="4" t="s">
        <v>191</v>
      </c>
      <c r="N45" s="1">
        <v>107.76375755900401</v>
      </c>
      <c r="O45" s="1">
        <v>6.81024999533639</v>
      </c>
      <c r="P45" s="1">
        <v>0</v>
      </c>
      <c r="Q45" s="15">
        <f>UNIDADES[[#This Row],[AREA PADRAO]]+UNIDADES[[#This Row],[AREA TERRACO]]*0.5</f>
        <v>107.76375755900401</v>
      </c>
      <c r="R45" s="1" t="s">
        <v>390</v>
      </c>
      <c r="S45" s="16" t="s">
        <v>396</v>
      </c>
    </row>
    <row r="46" spans="1:19" x14ac:dyDescent="0.4">
      <c r="A46" t="s">
        <v>202</v>
      </c>
      <c r="B46" s="4" t="s">
        <v>60</v>
      </c>
      <c r="C46" s="1"/>
      <c r="D46" s="13">
        <f>VALUE(_xlfn.TEXTBEFORE(UNIDADES[[#This Row],[UNIDADE]]," "))</f>
        <v>602</v>
      </c>
      <c r="E46" s="13" t="s">
        <v>361</v>
      </c>
      <c r="F46" s="4" t="s">
        <v>229</v>
      </c>
      <c r="G46" s="4" t="s">
        <v>366</v>
      </c>
      <c r="H46" s="4">
        <v>3</v>
      </c>
      <c r="I46" s="4">
        <v>0</v>
      </c>
      <c r="J46" s="13">
        <f>UNIDADES[[#This Row],[SUITES]]+UNIDADES[[#This Row],[QUARTOS]]</f>
        <v>3</v>
      </c>
      <c r="K46" s="4" t="s">
        <v>188</v>
      </c>
      <c r="L46" s="4" t="s">
        <v>1</v>
      </c>
      <c r="M46" s="4" t="s">
        <v>190</v>
      </c>
      <c r="N46" s="1">
        <v>107.333257557005</v>
      </c>
      <c r="O46" s="1">
        <v>4.0860000000002303</v>
      </c>
      <c r="P46" s="1">
        <v>0</v>
      </c>
      <c r="Q46" s="15">
        <f>UNIDADES[[#This Row],[AREA PADRAO]]+UNIDADES[[#This Row],[AREA TERRACO]]*0.5</f>
        <v>107.333257557005</v>
      </c>
      <c r="R46" s="1" t="s">
        <v>390</v>
      </c>
      <c r="S46" s="16" t="s">
        <v>396</v>
      </c>
    </row>
    <row r="47" spans="1:19" x14ac:dyDescent="0.4">
      <c r="A47" t="s">
        <v>203</v>
      </c>
      <c r="B47" s="4" t="s">
        <v>60</v>
      </c>
      <c r="C47" s="1"/>
      <c r="D47" s="13">
        <f>VALUE(_xlfn.TEXTBEFORE(UNIDADES[[#This Row],[UNIDADE]]," "))</f>
        <v>603</v>
      </c>
      <c r="E47" s="13" t="s">
        <v>361</v>
      </c>
      <c r="F47" s="4" t="s">
        <v>230</v>
      </c>
      <c r="G47" s="4" t="s">
        <v>368</v>
      </c>
      <c r="H47" s="4">
        <v>3</v>
      </c>
      <c r="I47" s="4">
        <v>0</v>
      </c>
      <c r="J47" s="13">
        <f>UNIDADES[[#This Row],[SUITES]]+UNIDADES[[#This Row],[QUARTOS]]</f>
        <v>3</v>
      </c>
      <c r="L47" s="4" t="s">
        <v>1</v>
      </c>
      <c r="M47" s="4" t="s">
        <v>190</v>
      </c>
      <c r="N47" s="1">
        <v>75.988299987721106</v>
      </c>
      <c r="O47" s="1">
        <v>5.5006999999998696</v>
      </c>
      <c r="P47" s="1">
        <v>0</v>
      </c>
      <c r="Q47" s="15">
        <f>UNIDADES[[#This Row],[AREA PADRAO]]+UNIDADES[[#This Row],[AREA TERRACO]]*0.5</f>
        <v>75.988299987721106</v>
      </c>
      <c r="R47" s="1" t="s">
        <v>392</v>
      </c>
      <c r="S47" s="16" t="s">
        <v>396</v>
      </c>
    </row>
    <row r="48" spans="1:19" x14ac:dyDescent="0.4">
      <c r="A48" t="s">
        <v>234</v>
      </c>
      <c r="B48" s="4" t="s">
        <v>60</v>
      </c>
      <c r="C48" s="1"/>
      <c r="D48" s="13">
        <f>VALUE(_xlfn.TEXTBEFORE(UNIDADES[[#This Row],[UNIDADE]]," "))</f>
        <v>604</v>
      </c>
      <c r="E48" s="13" t="s">
        <v>361</v>
      </c>
      <c r="F48" s="4" t="s">
        <v>231</v>
      </c>
      <c r="G48" s="4" t="s">
        <v>370</v>
      </c>
      <c r="H48" s="4">
        <v>1</v>
      </c>
      <c r="I48" s="4">
        <v>1</v>
      </c>
      <c r="J48" s="13">
        <f>UNIDADES[[#This Row],[SUITES]]+UNIDADES[[#This Row],[QUARTOS]]</f>
        <v>2</v>
      </c>
      <c r="L48" s="4" t="s">
        <v>1</v>
      </c>
      <c r="M48" s="4" t="s">
        <v>190</v>
      </c>
      <c r="N48" s="1">
        <v>54.312999998096998</v>
      </c>
      <c r="O48" s="1">
        <v>3.0779999942888701</v>
      </c>
      <c r="P48" s="1">
        <v>0</v>
      </c>
      <c r="Q48" s="15">
        <f>UNIDADES[[#This Row],[AREA PADRAO]]+UNIDADES[[#This Row],[AREA TERRACO]]*0.5</f>
        <v>54.312999998096998</v>
      </c>
      <c r="R48" s="1" t="s">
        <v>393</v>
      </c>
      <c r="S48" s="1"/>
    </row>
    <row r="49" spans="1:19" x14ac:dyDescent="0.4">
      <c r="A49" t="s">
        <v>235</v>
      </c>
      <c r="B49" s="4" t="s">
        <v>60</v>
      </c>
      <c r="C49" s="1"/>
      <c r="D49" s="13">
        <f>VALUE(_xlfn.TEXTBEFORE(UNIDADES[[#This Row],[UNIDADE]]," "))</f>
        <v>605</v>
      </c>
      <c r="E49" s="13" t="s">
        <v>361</v>
      </c>
      <c r="F49" s="4" t="s">
        <v>232</v>
      </c>
      <c r="G49" s="4" t="s">
        <v>372</v>
      </c>
      <c r="H49" s="4">
        <v>1</v>
      </c>
      <c r="I49" s="4">
        <v>1</v>
      </c>
      <c r="J49" s="13">
        <f>UNIDADES[[#This Row],[SUITES]]+UNIDADES[[#This Row],[QUARTOS]]</f>
        <v>2</v>
      </c>
      <c r="K49" s="4" t="s">
        <v>189</v>
      </c>
      <c r="L49" s="4" t="s">
        <v>1</v>
      </c>
      <c r="M49" s="4" t="s">
        <v>190</v>
      </c>
      <c r="N49" s="1">
        <v>59.500987689683299</v>
      </c>
      <c r="O49" s="1">
        <v>4.6546370784516995</v>
      </c>
      <c r="P49" s="1">
        <v>0</v>
      </c>
      <c r="Q49" s="15">
        <f>UNIDADES[[#This Row],[AREA PADRAO]]+UNIDADES[[#This Row],[AREA TERRACO]]*0.5</f>
        <v>59.500987689683299</v>
      </c>
      <c r="R49" s="1" t="s">
        <v>393</v>
      </c>
      <c r="S49" s="1"/>
    </row>
    <row r="50" spans="1:19" x14ac:dyDescent="0.4">
      <c r="A50" t="s">
        <v>236</v>
      </c>
      <c r="B50" s="4" t="s">
        <v>60</v>
      </c>
      <c r="C50" s="1"/>
      <c r="D50" s="13">
        <f>VALUE(_xlfn.TEXTBEFORE(UNIDADES[[#This Row],[UNIDADE]]," "))</f>
        <v>606</v>
      </c>
      <c r="E50" s="13" t="s">
        <v>361</v>
      </c>
      <c r="F50" s="4" t="s">
        <v>233</v>
      </c>
      <c r="G50" s="4" t="s">
        <v>374</v>
      </c>
      <c r="H50" s="4">
        <v>1</v>
      </c>
      <c r="I50" s="4">
        <v>1</v>
      </c>
      <c r="J50" s="13">
        <f>UNIDADES[[#This Row],[SUITES]]+UNIDADES[[#This Row],[QUARTOS]]</f>
        <v>2</v>
      </c>
      <c r="K50" s="4" t="s">
        <v>189</v>
      </c>
      <c r="L50" s="4" t="s">
        <v>3</v>
      </c>
      <c r="M50" s="4" t="s">
        <v>191</v>
      </c>
      <c r="N50" s="1">
        <v>58.913550312519497</v>
      </c>
      <c r="O50" s="1">
        <v>4.5489749967164101</v>
      </c>
      <c r="P50" s="1">
        <v>0</v>
      </c>
      <c r="Q50" s="15">
        <f>UNIDADES[[#This Row],[AREA PADRAO]]+UNIDADES[[#This Row],[AREA TERRACO]]*0.5</f>
        <v>58.913550312519497</v>
      </c>
      <c r="R50" s="1" t="s">
        <v>393</v>
      </c>
      <c r="S50" s="1"/>
    </row>
    <row r="51" spans="1:19" x14ac:dyDescent="0.4">
      <c r="A51" t="s">
        <v>343</v>
      </c>
      <c r="B51" s="4" t="s">
        <v>60</v>
      </c>
      <c r="C51" s="1"/>
      <c r="D51" s="13">
        <f>VALUE(_xlfn.TEXTBEFORE(UNIDADES[[#This Row],[UNIDADE]]," "))</f>
        <v>607</v>
      </c>
      <c r="E51" s="13" t="s">
        <v>361</v>
      </c>
      <c r="F51" s="4" t="s">
        <v>331</v>
      </c>
      <c r="G51" s="4" t="s">
        <v>376</v>
      </c>
      <c r="H51" s="4">
        <v>1</v>
      </c>
      <c r="I51" s="4">
        <v>1</v>
      </c>
      <c r="J51" s="13">
        <f>UNIDADES[[#This Row],[SUITES]]+UNIDADES[[#This Row],[QUARTOS]]</f>
        <v>2</v>
      </c>
      <c r="L51" s="4" t="s">
        <v>3</v>
      </c>
      <c r="M51" s="4" t="s">
        <v>191</v>
      </c>
      <c r="N51" s="1">
        <v>48.827200057960503</v>
      </c>
      <c r="O51" s="1">
        <v>4.5120000000001603</v>
      </c>
      <c r="P51" s="1">
        <v>0</v>
      </c>
      <c r="Q51" s="15">
        <f>UNIDADES[[#This Row],[AREA PADRAO]]+UNIDADES[[#This Row],[AREA TERRACO]]*0.5</f>
        <v>48.827200057960503</v>
      </c>
      <c r="R51" s="1" t="s">
        <v>393</v>
      </c>
      <c r="S51" s="1"/>
    </row>
    <row r="52" spans="1:19" x14ac:dyDescent="0.4">
      <c r="A52" t="s">
        <v>344</v>
      </c>
      <c r="B52" s="4" t="s">
        <v>60</v>
      </c>
      <c r="C52" s="1"/>
      <c r="D52" s="13">
        <f>VALUE(_xlfn.TEXTBEFORE(UNIDADES[[#This Row],[UNIDADE]]," "))</f>
        <v>608</v>
      </c>
      <c r="E52" s="13" t="s">
        <v>361</v>
      </c>
      <c r="F52" s="4" t="s">
        <v>332</v>
      </c>
      <c r="G52" s="4" t="s">
        <v>377</v>
      </c>
      <c r="H52" s="4">
        <v>1</v>
      </c>
      <c r="I52" s="4">
        <v>1</v>
      </c>
      <c r="J52" s="13">
        <f>UNIDADES[[#This Row],[SUITES]]+UNIDADES[[#This Row],[QUARTOS]]</f>
        <v>2</v>
      </c>
      <c r="L52" s="4" t="s">
        <v>3</v>
      </c>
      <c r="M52" s="4" t="s">
        <v>191</v>
      </c>
      <c r="N52" s="1">
        <v>48.566399941747498</v>
      </c>
      <c r="O52" s="1">
        <v>2.2630162639399498</v>
      </c>
      <c r="P52" s="1">
        <v>0</v>
      </c>
      <c r="Q52" s="15">
        <f>UNIDADES[[#This Row],[AREA PADRAO]]+UNIDADES[[#This Row],[AREA TERRACO]]*0.5</f>
        <v>48.566399941747498</v>
      </c>
      <c r="R52" s="1" t="s">
        <v>393</v>
      </c>
      <c r="S52" s="1"/>
    </row>
    <row r="53" spans="1:19" x14ac:dyDescent="0.4">
      <c r="A53" t="s">
        <v>345</v>
      </c>
      <c r="B53" s="4" t="s">
        <v>60</v>
      </c>
      <c r="C53" s="1"/>
      <c r="D53" s="13">
        <f>VALUE(_xlfn.TEXTBEFORE(UNIDADES[[#This Row],[UNIDADE]]," "))</f>
        <v>609</v>
      </c>
      <c r="E53" s="13" t="s">
        <v>361</v>
      </c>
      <c r="F53" s="4" t="s">
        <v>333</v>
      </c>
      <c r="G53" s="4" t="s">
        <v>378</v>
      </c>
      <c r="H53" s="4">
        <v>1</v>
      </c>
      <c r="I53" s="4">
        <v>1</v>
      </c>
      <c r="J53" s="13">
        <f>UNIDADES[[#This Row],[SUITES]]+UNIDADES[[#This Row],[QUARTOS]]</f>
        <v>2</v>
      </c>
      <c r="L53" s="4" t="s">
        <v>3</v>
      </c>
      <c r="M53" s="4" t="s">
        <v>191</v>
      </c>
      <c r="N53" s="1">
        <v>56.968400000000202</v>
      </c>
      <c r="O53" s="1">
        <v>2.7474655278330302</v>
      </c>
      <c r="P53" s="1">
        <v>0</v>
      </c>
      <c r="Q53" s="15">
        <f>UNIDADES[[#This Row],[AREA PADRAO]]+UNIDADES[[#This Row],[AREA TERRACO]]*0.5</f>
        <v>56.968400000000202</v>
      </c>
      <c r="R53" s="1" t="s">
        <v>393</v>
      </c>
      <c r="S53" s="1"/>
    </row>
    <row r="54" spans="1:19" x14ac:dyDescent="0.4">
      <c r="A54" t="s">
        <v>309</v>
      </c>
      <c r="B54" s="4" t="s">
        <v>70</v>
      </c>
      <c r="C54" s="1"/>
      <c r="D54" s="13">
        <f>VALUE(_xlfn.TEXTBEFORE(UNIDADES[[#This Row],[UNIDADE]]," "))</f>
        <v>701</v>
      </c>
      <c r="E54" s="13" t="s">
        <v>361</v>
      </c>
      <c r="F54" s="4" t="s">
        <v>227</v>
      </c>
      <c r="G54" s="4" t="s">
        <v>364</v>
      </c>
      <c r="H54" s="4">
        <v>3</v>
      </c>
      <c r="I54" s="4">
        <v>0</v>
      </c>
      <c r="J54" s="13">
        <f>UNIDADES[[#This Row],[SUITES]]+UNIDADES[[#This Row],[QUARTOS]]</f>
        <v>3</v>
      </c>
      <c r="K54" s="4" t="s">
        <v>188</v>
      </c>
      <c r="L54" s="4" t="s">
        <v>3</v>
      </c>
      <c r="M54" s="4" t="s">
        <v>191</v>
      </c>
      <c r="N54" s="1">
        <v>106.93295755635</v>
      </c>
      <c r="O54" s="1">
        <v>4.0763124858182396</v>
      </c>
      <c r="P54" s="1">
        <v>0</v>
      </c>
      <c r="Q54" s="15">
        <f>UNIDADES[[#This Row],[AREA PADRAO]]+UNIDADES[[#This Row],[AREA TERRACO]]*0.5</f>
        <v>106.93295755635</v>
      </c>
      <c r="R54" s="1" t="s">
        <v>390</v>
      </c>
      <c r="S54" s="16" t="s">
        <v>396</v>
      </c>
    </row>
    <row r="55" spans="1:19" x14ac:dyDescent="0.4">
      <c r="A55" t="s">
        <v>293</v>
      </c>
      <c r="B55" s="4" t="s">
        <v>70</v>
      </c>
      <c r="C55" s="1"/>
      <c r="D55" s="13">
        <f>VALUE(_xlfn.TEXTBEFORE(UNIDADES[[#This Row],[UNIDADE]]," "))</f>
        <v>702</v>
      </c>
      <c r="E55" s="13" t="s">
        <v>361</v>
      </c>
      <c r="F55" s="4" t="s">
        <v>226</v>
      </c>
      <c r="G55" s="4" t="s">
        <v>366</v>
      </c>
      <c r="H55" s="4">
        <v>3</v>
      </c>
      <c r="I55" s="4">
        <v>0</v>
      </c>
      <c r="J55" s="13">
        <f>UNIDADES[[#This Row],[SUITES]]+UNIDADES[[#This Row],[QUARTOS]]</f>
        <v>3</v>
      </c>
      <c r="K55" s="4" t="s">
        <v>188</v>
      </c>
      <c r="L55" s="4" t="s">
        <v>1</v>
      </c>
      <c r="M55" s="4" t="s">
        <v>190</v>
      </c>
      <c r="N55" s="1">
        <v>107.136657558349</v>
      </c>
      <c r="O55" s="1">
        <v>3.5340000000001601</v>
      </c>
      <c r="P55" s="1">
        <v>0</v>
      </c>
      <c r="Q55" s="15">
        <f>UNIDADES[[#This Row],[AREA PADRAO]]+UNIDADES[[#This Row],[AREA TERRACO]]*0.5</f>
        <v>107.136657558349</v>
      </c>
      <c r="R55" s="1" t="s">
        <v>390</v>
      </c>
      <c r="S55" s="16" t="s">
        <v>396</v>
      </c>
    </row>
    <row r="56" spans="1:19" x14ac:dyDescent="0.4">
      <c r="A56" t="s">
        <v>292</v>
      </c>
      <c r="B56" s="4" t="s">
        <v>70</v>
      </c>
      <c r="C56" s="1"/>
      <c r="D56" s="13">
        <f>VALUE(_xlfn.TEXTBEFORE(UNIDADES[[#This Row],[UNIDADE]]," "))</f>
        <v>703</v>
      </c>
      <c r="E56" s="13" t="s">
        <v>361</v>
      </c>
      <c r="F56" s="4" t="s">
        <v>225</v>
      </c>
      <c r="G56" s="4" t="s">
        <v>368</v>
      </c>
      <c r="H56" s="4">
        <v>3</v>
      </c>
      <c r="I56" s="4">
        <v>0</v>
      </c>
      <c r="J56" s="13">
        <f>UNIDADES[[#This Row],[SUITES]]+UNIDADES[[#This Row],[QUARTOS]]</f>
        <v>3</v>
      </c>
      <c r="L56" s="4" t="s">
        <v>1</v>
      </c>
      <c r="M56" s="4" t="s">
        <v>190</v>
      </c>
      <c r="N56" s="1">
        <v>75.256824991647093</v>
      </c>
      <c r="O56" s="1">
        <v>6.0660614415009197</v>
      </c>
      <c r="P56" s="1">
        <v>0</v>
      </c>
      <c r="Q56" s="15">
        <f>UNIDADES[[#This Row],[AREA PADRAO]]+UNIDADES[[#This Row],[AREA TERRACO]]*0.5</f>
        <v>75.256824991647093</v>
      </c>
      <c r="R56" s="1" t="s">
        <v>392</v>
      </c>
      <c r="S56" s="16" t="s">
        <v>396</v>
      </c>
    </row>
    <row r="57" spans="1:19" x14ac:dyDescent="0.4">
      <c r="A57" t="s">
        <v>326</v>
      </c>
      <c r="B57" s="4" t="s">
        <v>70</v>
      </c>
      <c r="C57" s="1"/>
      <c r="D57" s="13">
        <f>VALUE(_xlfn.TEXTBEFORE(UNIDADES[[#This Row],[UNIDADE]]," "))</f>
        <v>704</v>
      </c>
      <c r="E57" s="13" t="s">
        <v>361</v>
      </c>
      <c r="F57" s="4" t="s">
        <v>224</v>
      </c>
      <c r="G57" s="4" t="s">
        <v>370</v>
      </c>
      <c r="H57" s="4">
        <v>1</v>
      </c>
      <c r="I57" s="4">
        <v>1</v>
      </c>
      <c r="J57" s="13">
        <f>UNIDADES[[#This Row],[SUITES]]+UNIDADES[[#This Row],[QUARTOS]]</f>
        <v>2</v>
      </c>
      <c r="L57" s="4" t="s">
        <v>1</v>
      </c>
      <c r="M57" s="4" t="s">
        <v>190</v>
      </c>
      <c r="N57" s="1">
        <v>54.336053357361202</v>
      </c>
      <c r="O57" s="1">
        <v>3.2515621014301601</v>
      </c>
      <c r="P57" s="1">
        <v>0</v>
      </c>
      <c r="Q57" s="15">
        <f>UNIDADES[[#This Row],[AREA PADRAO]]+UNIDADES[[#This Row],[AREA TERRACO]]*0.5</f>
        <v>54.336053357361202</v>
      </c>
      <c r="R57" s="1" t="s">
        <v>393</v>
      </c>
      <c r="S57" s="1"/>
    </row>
    <row r="58" spans="1:19" x14ac:dyDescent="0.4">
      <c r="A58" t="s">
        <v>283</v>
      </c>
      <c r="B58" s="4" t="s">
        <v>70</v>
      </c>
      <c r="C58" s="1"/>
      <c r="D58" s="13">
        <f>VALUE(_xlfn.TEXTBEFORE(UNIDADES[[#This Row],[UNIDADE]]," "))</f>
        <v>705</v>
      </c>
      <c r="E58" s="13" t="s">
        <v>361</v>
      </c>
      <c r="F58" s="4" t="s">
        <v>223</v>
      </c>
      <c r="G58" s="4" t="s">
        <v>372</v>
      </c>
      <c r="H58" s="4">
        <v>1</v>
      </c>
      <c r="I58" s="4">
        <v>1</v>
      </c>
      <c r="J58" s="13">
        <f>UNIDADES[[#This Row],[SUITES]]+UNIDADES[[#This Row],[QUARTOS]]</f>
        <v>2</v>
      </c>
      <c r="K58" s="4" t="s">
        <v>189</v>
      </c>
      <c r="L58" s="4" t="s">
        <v>1</v>
      </c>
      <c r="M58" s="4" t="s">
        <v>190</v>
      </c>
      <c r="N58" s="1">
        <v>59.501049999999999</v>
      </c>
      <c r="O58" s="1">
        <v>4.6547749999998302</v>
      </c>
      <c r="P58" s="1">
        <v>0</v>
      </c>
      <c r="Q58" s="15">
        <f>UNIDADES[[#This Row],[AREA PADRAO]]+UNIDADES[[#This Row],[AREA TERRACO]]*0.5</f>
        <v>59.501049999999999</v>
      </c>
      <c r="R58" s="1" t="s">
        <v>393</v>
      </c>
      <c r="S58" s="1"/>
    </row>
    <row r="59" spans="1:19" x14ac:dyDescent="0.4">
      <c r="A59" t="s">
        <v>298</v>
      </c>
      <c r="B59" s="4" t="s">
        <v>70</v>
      </c>
      <c r="C59" s="1"/>
      <c r="D59" s="13">
        <f>VALUE(_xlfn.TEXTBEFORE(UNIDADES[[#This Row],[UNIDADE]]," "))</f>
        <v>706</v>
      </c>
      <c r="E59" s="13" t="s">
        <v>361</v>
      </c>
      <c r="F59" s="4" t="s">
        <v>222</v>
      </c>
      <c r="G59" s="4" t="s">
        <v>374</v>
      </c>
      <c r="H59" s="4">
        <v>1</v>
      </c>
      <c r="I59" s="4">
        <v>1</v>
      </c>
      <c r="J59" s="13">
        <f>UNIDADES[[#This Row],[SUITES]]+UNIDADES[[#This Row],[QUARTOS]]</f>
        <v>2</v>
      </c>
      <c r="K59" s="4" t="s">
        <v>189</v>
      </c>
      <c r="L59" s="4" t="s">
        <v>3</v>
      </c>
      <c r="M59" s="4" t="s">
        <v>191</v>
      </c>
      <c r="N59" s="1">
        <v>58.9135503202302</v>
      </c>
      <c r="O59" s="1">
        <v>4.5489749999994196</v>
      </c>
      <c r="P59" s="1">
        <v>0</v>
      </c>
      <c r="Q59" s="15">
        <f>UNIDADES[[#This Row],[AREA PADRAO]]+UNIDADES[[#This Row],[AREA TERRACO]]*0.5</f>
        <v>58.9135503202302</v>
      </c>
      <c r="R59" s="1" t="s">
        <v>393</v>
      </c>
      <c r="S59" s="1"/>
    </row>
    <row r="60" spans="1:19" x14ac:dyDescent="0.4">
      <c r="A60" t="s">
        <v>346</v>
      </c>
      <c r="B60" s="4" t="s">
        <v>70</v>
      </c>
      <c r="C60" s="1"/>
      <c r="D60" s="13">
        <f>VALUE(_xlfn.TEXTBEFORE(UNIDADES[[#This Row],[UNIDADE]]," "))</f>
        <v>707</v>
      </c>
      <c r="E60" s="13" t="s">
        <v>361</v>
      </c>
      <c r="F60" s="4" t="s">
        <v>334</v>
      </c>
      <c r="G60" s="4" t="s">
        <v>376</v>
      </c>
      <c r="H60" s="4">
        <v>1</v>
      </c>
      <c r="I60" s="4">
        <v>1</v>
      </c>
      <c r="J60" s="13">
        <f>UNIDADES[[#This Row],[SUITES]]+UNIDADES[[#This Row],[QUARTOS]]</f>
        <v>2</v>
      </c>
      <c r="L60" s="4" t="s">
        <v>3</v>
      </c>
      <c r="M60" s="4" t="s">
        <v>191</v>
      </c>
      <c r="N60" s="1">
        <v>48.331200057960999</v>
      </c>
      <c r="O60" s="1">
        <v>3.04200000000001</v>
      </c>
      <c r="P60" s="1">
        <v>0</v>
      </c>
      <c r="Q60" s="15">
        <f>UNIDADES[[#This Row],[AREA PADRAO]]+UNIDADES[[#This Row],[AREA TERRACO]]*0.5</f>
        <v>48.331200057960999</v>
      </c>
      <c r="R60" s="1" t="s">
        <v>393</v>
      </c>
      <c r="S60" s="1"/>
    </row>
    <row r="61" spans="1:19" x14ac:dyDescent="0.4">
      <c r="A61" t="s">
        <v>347</v>
      </c>
      <c r="B61" s="4" t="s">
        <v>70</v>
      </c>
      <c r="C61" s="1"/>
      <c r="D61" s="13">
        <f>VALUE(_xlfn.TEXTBEFORE(UNIDADES[[#This Row],[UNIDADE]]," "))</f>
        <v>708</v>
      </c>
      <c r="E61" s="13" t="s">
        <v>361</v>
      </c>
      <c r="F61" s="4" t="s">
        <v>335</v>
      </c>
      <c r="G61" s="4" t="s">
        <v>377</v>
      </c>
      <c r="H61" s="4">
        <v>1</v>
      </c>
      <c r="I61" s="4">
        <v>1</v>
      </c>
      <c r="J61" s="13">
        <f>UNIDADES[[#This Row],[SUITES]]+UNIDADES[[#This Row],[QUARTOS]]</f>
        <v>2</v>
      </c>
      <c r="L61" s="4" t="s">
        <v>3</v>
      </c>
      <c r="M61" s="4" t="s">
        <v>191</v>
      </c>
      <c r="N61" s="1">
        <v>49.052399941747503</v>
      </c>
      <c r="O61" s="1">
        <v>2.3317999999998298</v>
      </c>
      <c r="P61" s="1">
        <v>0</v>
      </c>
      <c r="Q61" s="15">
        <f>UNIDADES[[#This Row],[AREA PADRAO]]+UNIDADES[[#This Row],[AREA TERRACO]]*0.5</f>
        <v>49.052399941747503</v>
      </c>
      <c r="R61" s="1" t="s">
        <v>393</v>
      </c>
      <c r="S61" s="1"/>
    </row>
    <row r="62" spans="1:19" x14ac:dyDescent="0.4">
      <c r="A62" t="s">
        <v>348</v>
      </c>
      <c r="B62" s="4" t="s">
        <v>70</v>
      </c>
      <c r="C62" s="1"/>
      <c r="D62" s="13">
        <f>VALUE(_xlfn.TEXTBEFORE(UNIDADES[[#This Row],[UNIDADE]]," "))</f>
        <v>709</v>
      </c>
      <c r="E62" s="13" t="s">
        <v>361</v>
      </c>
      <c r="F62" s="4" t="s">
        <v>336</v>
      </c>
      <c r="G62" s="4" t="s">
        <v>378</v>
      </c>
      <c r="H62" s="4">
        <v>1</v>
      </c>
      <c r="I62" s="4">
        <v>1</v>
      </c>
      <c r="J62" s="13">
        <f>UNIDADES[[#This Row],[SUITES]]+UNIDADES[[#This Row],[QUARTOS]]</f>
        <v>2</v>
      </c>
      <c r="L62" s="4" t="s">
        <v>3</v>
      </c>
      <c r="M62" s="4" t="s">
        <v>191</v>
      </c>
      <c r="N62" s="1">
        <v>57.580400001903698</v>
      </c>
      <c r="O62" s="1">
        <v>3.4512616588337699</v>
      </c>
      <c r="P62" s="1">
        <v>0</v>
      </c>
      <c r="Q62" s="15">
        <f>UNIDADES[[#This Row],[AREA PADRAO]]+UNIDADES[[#This Row],[AREA TERRACO]]*0.5</f>
        <v>57.580400001903698</v>
      </c>
      <c r="R62" s="1" t="s">
        <v>393</v>
      </c>
      <c r="S62" s="1"/>
    </row>
    <row r="63" spans="1:19" x14ac:dyDescent="0.4">
      <c r="A63" t="s">
        <v>308</v>
      </c>
      <c r="B63" s="4" t="s">
        <v>80</v>
      </c>
      <c r="C63" s="1"/>
      <c r="D63" s="13">
        <f>VALUE(_xlfn.TEXTBEFORE(UNIDADES[[#This Row],[UNIDADE]]," "))</f>
        <v>801</v>
      </c>
      <c r="E63" s="13" t="s">
        <v>361</v>
      </c>
      <c r="F63" s="4" t="s">
        <v>228</v>
      </c>
      <c r="G63" s="4" t="s">
        <v>364</v>
      </c>
      <c r="H63" s="4">
        <v>3</v>
      </c>
      <c r="I63" s="4">
        <v>0</v>
      </c>
      <c r="J63" s="13">
        <f>UNIDADES[[#This Row],[SUITES]]+UNIDADES[[#This Row],[QUARTOS]]</f>
        <v>3</v>
      </c>
      <c r="K63" s="4" t="s">
        <v>188</v>
      </c>
      <c r="L63" s="4" t="s">
        <v>3</v>
      </c>
      <c r="M63" s="4" t="s">
        <v>191</v>
      </c>
      <c r="N63" s="1">
        <v>107.76375755900401</v>
      </c>
      <c r="O63" s="1">
        <v>6.81024999533639</v>
      </c>
      <c r="P63" s="1">
        <v>0</v>
      </c>
      <c r="Q63" s="15">
        <f>UNIDADES[[#This Row],[AREA PADRAO]]+UNIDADES[[#This Row],[AREA TERRACO]]*0.5</f>
        <v>107.76375755900401</v>
      </c>
      <c r="R63" s="1" t="s">
        <v>390</v>
      </c>
      <c r="S63" s="16" t="s">
        <v>396</v>
      </c>
    </row>
    <row r="64" spans="1:19" x14ac:dyDescent="0.4">
      <c r="A64" t="s">
        <v>294</v>
      </c>
      <c r="B64" s="4" t="s">
        <v>80</v>
      </c>
      <c r="C64" s="1"/>
      <c r="D64" s="13">
        <f>VALUE(_xlfn.TEXTBEFORE(UNIDADES[[#This Row],[UNIDADE]]," "))</f>
        <v>802</v>
      </c>
      <c r="E64" s="13" t="s">
        <v>361</v>
      </c>
      <c r="F64" s="4" t="s">
        <v>229</v>
      </c>
      <c r="G64" s="4" t="s">
        <v>366</v>
      </c>
      <c r="H64" s="4">
        <v>3</v>
      </c>
      <c r="I64" s="4">
        <v>0</v>
      </c>
      <c r="J64" s="13">
        <f>UNIDADES[[#This Row],[SUITES]]+UNIDADES[[#This Row],[QUARTOS]]</f>
        <v>3</v>
      </c>
      <c r="K64" s="4" t="s">
        <v>188</v>
      </c>
      <c r="L64" s="4" t="s">
        <v>1</v>
      </c>
      <c r="M64" s="4" t="s">
        <v>190</v>
      </c>
      <c r="N64" s="1">
        <v>107.333257557005</v>
      </c>
      <c r="O64" s="1">
        <v>4.0860000000002303</v>
      </c>
      <c r="P64" s="1">
        <v>0</v>
      </c>
      <c r="Q64" s="15">
        <f>UNIDADES[[#This Row],[AREA PADRAO]]+UNIDADES[[#This Row],[AREA TERRACO]]*0.5</f>
        <v>107.333257557005</v>
      </c>
      <c r="R64" s="1" t="s">
        <v>390</v>
      </c>
      <c r="S64" s="16" t="s">
        <v>396</v>
      </c>
    </row>
    <row r="65" spans="1:19" x14ac:dyDescent="0.4">
      <c r="A65" t="s">
        <v>291</v>
      </c>
      <c r="B65" s="4" t="s">
        <v>80</v>
      </c>
      <c r="C65" s="1"/>
      <c r="D65" s="13">
        <f>VALUE(_xlfn.TEXTBEFORE(UNIDADES[[#This Row],[UNIDADE]]," "))</f>
        <v>803</v>
      </c>
      <c r="E65" s="13" t="s">
        <v>361</v>
      </c>
      <c r="F65" s="4" t="s">
        <v>230</v>
      </c>
      <c r="G65" s="4" t="s">
        <v>368</v>
      </c>
      <c r="H65" s="4">
        <v>3</v>
      </c>
      <c r="I65" s="4">
        <v>0</v>
      </c>
      <c r="J65" s="13">
        <f>UNIDADES[[#This Row],[SUITES]]+UNIDADES[[#This Row],[QUARTOS]]</f>
        <v>3</v>
      </c>
      <c r="L65" s="4" t="s">
        <v>1</v>
      </c>
      <c r="M65" s="4" t="s">
        <v>190</v>
      </c>
      <c r="N65" s="1">
        <v>75.988299987721106</v>
      </c>
      <c r="O65" s="1">
        <v>5.5006999999998696</v>
      </c>
      <c r="P65" s="1">
        <v>0</v>
      </c>
      <c r="Q65" s="15">
        <f>UNIDADES[[#This Row],[AREA PADRAO]]+UNIDADES[[#This Row],[AREA TERRACO]]*0.5</f>
        <v>75.988299987721106</v>
      </c>
      <c r="R65" s="1" t="s">
        <v>392</v>
      </c>
      <c r="S65" s="16" t="s">
        <v>396</v>
      </c>
    </row>
    <row r="66" spans="1:19" x14ac:dyDescent="0.4">
      <c r="A66" t="s">
        <v>325</v>
      </c>
      <c r="B66" s="4" t="s">
        <v>80</v>
      </c>
      <c r="C66" s="1"/>
      <c r="D66" s="13">
        <f>VALUE(_xlfn.TEXTBEFORE(UNIDADES[[#This Row],[UNIDADE]]," "))</f>
        <v>804</v>
      </c>
      <c r="E66" s="13" t="s">
        <v>361</v>
      </c>
      <c r="F66" s="4" t="s">
        <v>231</v>
      </c>
      <c r="G66" s="4" t="s">
        <v>370</v>
      </c>
      <c r="H66" s="4">
        <v>1</v>
      </c>
      <c r="I66" s="4">
        <v>1</v>
      </c>
      <c r="J66" s="13">
        <f>UNIDADES[[#This Row],[SUITES]]+UNIDADES[[#This Row],[QUARTOS]]</f>
        <v>2</v>
      </c>
      <c r="L66" s="4" t="s">
        <v>1</v>
      </c>
      <c r="M66" s="4" t="s">
        <v>190</v>
      </c>
      <c r="N66" s="1">
        <v>54.312999998096998</v>
      </c>
      <c r="O66" s="1">
        <v>3.0779999942888701</v>
      </c>
      <c r="P66" s="1">
        <v>0</v>
      </c>
      <c r="Q66" s="15">
        <f>UNIDADES[[#This Row],[AREA PADRAO]]+UNIDADES[[#This Row],[AREA TERRACO]]*0.5</f>
        <v>54.312999998096998</v>
      </c>
      <c r="R66" s="1" t="s">
        <v>393</v>
      </c>
      <c r="S66" s="1"/>
    </row>
    <row r="67" spans="1:19" x14ac:dyDescent="0.4">
      <c r="A67" t="s">
        <v>310</v>
      </c>
      <c r="B67" s="4" t="s">
        <v>80</v>
      </c>
      <c r="C67" s="1"/>
      <c r="D67" s="13">
        <f>VALUE(_xlfn.TEXTBEFORE(UNIDADES[[#This Row],[UNIDADE]]," "))</f>
        <v>805</v>
      </c>
      <c r="E67" s="13" t="s">
        <v>361</v>
      </c>
      <c r="F67" s="4" t="s">
        <v>232</v>
      </c>
      <c r="G67" s="4" t="s">
        <v>372</v>
      </c>
      <c r="H67" s="4">
        <v>1</v>
      </c>
      <c r="I67" s="4">
        <v>1</v>
      </c>
      <c r="J67" s="13">
        <f>UNIDADES[[#This Row],[SUITES]]+UNIDADES[[#This Row],[QUARTOS]]</f>
        <v>2</v>
      </c>
      <c r="K67" s="4" t="s">
        <v>189</v>
      </c>
      <c r="L67" s="4" t="s">
        <v>1</v>
      </c>
      <c r="M67" s="4" t="s">
        <v>190</v>
      </c>
      <c r="N67" s="1">
        <v>59.500987689683299</v>
      </c>
      <c r="O67" s="1">
        <v>4.6546370784516995</v>
      </c>
      <c r="P67" s="1">
        <v>0</v>
      </c>
      <c r="Q67" s="15">
        <f>UNIDADES[[#This Row],[AREA PADRAO]]+UNIDADES[[#This Row],[AREA TERRACO]]*0.5</f>
        <v>59.500987689683299</v>
      </c>
      <c r="R67" s="1" t="s">
        <v>393</v>
      </c>
      <c r="S67" s="1"/>
    </row>
    <row r="68" spans="1:19" x14ac:dyDescent="0.4">
      <c r="A68" t="s">
        <v>304</v>
      </c>
      <c r="B68" s="4" t="s">
        <v>80</v>
      </c>
      <c r="C68" s="1"/>
      <c r="D68" s="13">
        <f>VALUE(_xlfn.TEXTBEFORE(UNIDADES[[#This Row],[UNIDADE]]," "))</f>
        <v>806</v>
      </c>
      <c r="E68" s="13" t="s">
        <v>361</v>
      </c>
      <c r="F68" s="4" t="s">
        <v>233</v>
      </c>
      <c r="G68" s="4" t="s">
        <v>374</v>
      </c>
      <c r="H68" s="4">
        <v>1</v>
      </c>
      <c r="I68" s="4">
        <v>1</v>
      </c>
      <c r="J68" s="13">
        <f>UNIDADES[[#This Row],[SUITES]]+UNIDADES[[#This Row],[QUARTOS]]</f>
        <v>2</v>
      </c>
      <c r="K68" s="4" t="s">
        <v>189</v>
      </c>
      <c r="L68" s="4" t="s">
        <v>3</v>
      </c>
      <c r="M68" s="4" t="s">
        <v>191</v>
      </c>
      <c r="N68" s="1">
        <v>58.913550312519497</v>
      </c>
      <c r="O68" s="1">
        <v>4.5489749967164101</v>
      </c>
      <c r="P68" s="1">
        <v>0</v>
      </c>
      <c r="Q68" s="15">
        <f>UNIDADES[[#This Row],[AREA PADRAO]]+UNIDADES[[#This Row],[AREA TERRACO]]*0.5</f>
        <v>58.913550312519497</v>
      </c>
      <c r="R68" s="1" t="s">
        <v>393</v>
      </c>
      <c r="S68" s="1"/>
    </row>
    <row r="69" spans="1:19" x14ac:dyDescent="0.4">
      <c r="A69" t="s">
        <v>349</v>
      </c>
      <c r="B69" s="4" t="s">
        <v>80</v>
      </c>
      <c r="C69" s="1"/>
      <c r="D69" s="13">
        <f>VALUE(_xlfn.TEXTBEFORE(UNIDADES[[#This Row],[UNIDADE]]," "))</f>
        <v>807</v>
      </c>
      <c r="E69" s="13" t="s">
        <v>361</v>
      </c>
      <c r="F69" s="4" t="s">
        <v>331</v>
      </c>
      <c r="G69" s="4" t="s">
        <v>376</v>
      </c>
      <c r="H69" s="4">
        <v>1</v>
      </c>
      <c r="I69" s="4">
        <v>1</v>
      </c>
      <c r="J69" s="13">
        <f>UNIDADES[[#This Row],[SUITES]]+UNIDADES[[#This Row],[QUARTOS]]</f>
        <v>2</v>
      </c>
      <c r="L69" s="4" t="s">
        <v>3</v>
      </c>
      <c r="M69" s="4" t="s">
        <v>191</v>
      </c>
      <c r="N69" s="1">
        <v>48.827200057960503</v>
      </c>
      <c r="O69" s="1">
        <v>4.5120000000001603</v>
      </c>
      <c r="P69" s="1">
        <v>0</v>
      </c>
      <c r="Q69" s="15">
        <f>UNIDADES[[#This Row],[AREA PADRAO]]+UNIDADES[[#This Row],[AREA TERRACO]]*0.5</f>
        <v>48.827200057960503</v>
      </c>
      <c r="R69" s="1" t="s">
        <v>393</v>
      </c>
      <c r="S69" s="1"/>
    </row>
    <row r="70" spans="1:19" x14ac:dyDescent="0.4">
      <c r="A70" t="s">
        <v>350</v>
      </c>
      <c r="B70" s="4" t="s">
        <v>80</v>
      </c>
      <c r="C70" s="1"/>
      <c r="D70" s="13">
        <f>VALUE(_xlfn.TEXTBEFORE(UNIDADES[[#This Row],[UNIDADE]]," "))</f>
        <v>808</v>
      </c>
      <c r="E70" s="13" t="s">
        <v>361</v>
      </c>
      <c r="F70" s="4" t="s">
        <v>332</v>
      </c>
      <c r="G70" s="4" t="s">
        <v>377</v>
      </c>
      <c r="H70" s="4">
        <v>1</v>
      </c>
      <c r="I70" s="4">
        <v>1</v>
      </c>
      <c r="J70" s="13">
        <f>UNIDADES[[#This Row],[SUITES]]+UNIDADES[[#This Row],[QUARTOS]]</f>
        <v>2</v>
      </c>
      <c r="L70" s="4" t="s">
        <v>3</v>
      </c>
      <c r="M70" s="4" t="s">
        <v>191</v>
      </c>
      <c r="N70" s="1">
        <v>48.566399941747498</v>
      </c>
      <c r="O70" s="1">
        <v>2.2630162639399498</v>
      </c>
      <c r="P70" s="1">
        <v>0</v>
      </c>
      <c r="Q70" s="15">
        <f>UNIDADES[[#This Row],[AREA PADRAO]]+UNIDADES[[#This Row],[AREA TERRACO]]*0.5</f>
        <v>48.566399941747498</v>
      </c>
      <c r="R70" s="1" t="s">
        <v>393</v>
      </c>
      <c r="S70" s="1"/>
    </row>
    <row r="71" spans="1:19" x14ac:dyDescent="0.4">
      <c r="A71" t="s">
        <v>351</v>
      </c>
      <c r="B71" s="4" t="s">
        <v>80</v>
      </c>
      <c r="C71" s="1"/>
      <c r="D71" s="13">
        <f>VALUE(_xlfn.TEXTBEFORE(UNIDADES[[#This Row],[UNIDADE]]," "))</f>
        <v>809</v>
      </c>
      <c r="E71" s="13" t="s">
        <v>361</v>
      </c>
      <c r="F71" s="4" t="s">
        <v>333</v>
      </c>
      <c r="G71" s="4" t="s">
        <v>378</v>
      </c>
      <c r="H71" s="4">
        <v>1</v>
      </c>
      <c r="I71" s="4">
        <v>1</v>
      </c>
      <c r="J71" s="13">
        <f>UNIDADES[[#This Row],[SUITES]]+UNIDADES[[#This Row],[QUARTOS]]</f>
        <v>2</v>
      </c>
      <c r="L71" s="4" t="s">
        <v>3</v>
      </c>
      <c r="M71" s="4" t="s">
        <v>191</v>
      </c>
      <c r="N71" s="1">
        <v>56.968400000000202</v>
      </c>
      <c r="O71" s="1">
        <v>2.7474655278330302</v>
      </c>
      <c r="P71" s="1">
        <v>0</v>
      </c>
      <c r="Q71" s="15">
        <f>UNIDADES[[#This Row],[AREA PADRAO]]+UNIDADES[[#This Row],[AREA TERRACO]]*0.5</f>
        <v>56.968400000000202</v>
      </c>
      <c r="R71" s="1" t="s">
        <v>393</v>
      </c>
      <c r="S71" s="1"/>
    </row>
    <row r="72" spans="1:19" x14ac:dyDescent="0.4">
      <c r="A72" t="s">
        <v>307</v>
      </c>
      <c r="B72" s="4" t="s">
        <v>90</v>
      </c>
      <c r="C72" s="1"/>
      <c r="D72" s="13">
        <f>VALUE(_xlfn.TEXTBEFORE(UNIDADES[[#This Row],[UNIDADE]]," "))</f>
        <v>901</v>
      </c>
      <c r="E72" s="13" t="s">
        <v>361</v>
      </c>
      <c r="F72" s="4" t="s">
        <v>227</v>
      </c>
      <c r="G72" s="4" t="s">
        <v>364</v>
      </c>
      <c r="H72" s="4">
        <v>3</v>
      </c>
      <c r="I72" s="4">
        <v>0</v>
      </c>
      <c r="J72" s="13">
        <f>UNIDADES[[#This Row],[SUITES]]+UNIDADES[[#This Row],[QUARTOS]]</f>
        <v>3</v>
      </c>
      <c r="K72" s="4" t="s">
        <v>188</v>
      </c>
      <c r="L72" s="4" t="s">
        <v>3</v>
      </c>
      <c r="M72" s="4" t="s">
        <v>191</v>
      </c>
      <c r="N72" s="1">
        <v>106.93295755635</v>
      </c>
      <c r="O72" s="1">
        <v>4.0763124858182396</v>
      </c>
      <c r="P72" s="1">
        <v>0</v>
      </c>
      <c r="Q72" s="15">
        <f>UNIDADES[[#This Row],[AREA PADRAO]]+UNIDADES[[#This Row],[AREA TERRACO]]*0.5</f>
        <v>106.93295755635</v>
      </c>
      <c r="R72" s="1" t="s">
        <v>390</v>
      </c>
      <c r="S72" s="16" t="s">
        <v>396</v>
      </c>
    </row>
    <row r="73" spans="1:19" x14ac:dyDescent="0.4">
      <c r="A73" t="s">
        <v>295</v>
      </c>
      <c r="B73" s="4" t="s">
        <v>90</v>
      </c>
      <c r="C73" s="1"/>
      <c r="D73" s="13">
        <f>VALUE(_xlfn.TEXTBEFORE(UNIDADES[[#This Row],[UNIDADE]]," "))</f>
        <v>902</v>
      </c>
      <c r="E73" s="13" t="s">
        <v>361</v>
      </c>
      <c r="F73" s="4" t="s">
        <v>226</v>
      </c>
      <c r="G73" s="4" t="s">
        <v>366</v>
      </c>
      <c r="H73" s="4">
        <v>3</v>
      </c>
      <c r="I73" s="4">
        <v>0</v>
      </c>
      <c r="J73" s="13">
        <f>UNIDADES[[#This Row],[SUITES]]+UNIDADES[[#This Row],[QUARTOS]]</f>
        <v>3</v>
      </c>
      <c r="K73" s="4" t="s">
        <v>188</v>
      </c>
      <c r="L73" s="4" t="s">
        <v>1</v>
      </c>
      <c r="M73" s="4" t="s">
        <v>190</v>
      </c>
      <c r="N73" s="1">
        <v>107.136657558349</v>
      </c>
      <c r="O73" s="1">
        <v>3.5340000000001601</v>
      </c>
      <c r="P73" s="1">
        <v>0</v>
      </c>
      <c r="Q73" s="15">
        <f>UNIDADES[[#This Row],[AREA PADRAO]]+UNIDADES[[#This Row],[AREA TERRACO]]*0.5</f>
        <v>107.136657558349</v>
      </c>
      <c r="R73" s="1" t="s">
        <v>390</v>
      </c>
      <c r="S73" s="16" t="s">
        <v>396</v>
      </c>
    </row>
    <row r="74" spans="1:19" x14ac:dyDescent="0.4">
      <c r="A74" t="s">
        <v>290</v>
      </c>
      <c r="B74" s="4" t="s">
        <v>90</v>
      </c>
      <c r="C74" s="1"/>
      <c r="D74" s="13">
        <f>VALUE(_xlfn.TEXTBEFORE(UNIDADES[[#This Row],[UNIDADE]]," "))</f>
        <v>903</v>
      </c>
      <c r="E74" s="13" t="s">
        <v>361</v>
      </c>
      <c r="F74" s="4" t="s">
        <v>225</v>
      </c>
      <c r="G74" s="4" t="s">
        <v>368</v>
      </c>
      <c r="H74" s="4">
        <v>3</v>
      </c>
      <c r="I74" s="4">
        <v>0</v>
      </c>
      <c r="J74" s="13">
        <f>UNIDADES[[#This Row],[SUITES]]+UNIDADES[[#This Row],[QUARTOS]]</f>
        <v>3</v>
      </c>
      <c r="L74" s="4" t="s">
        <v>1</v>
      </c>
      <c r="M74" s="4" t="s">
        <v>190</v>
      </c>
      <c r="N74" s="1">
        <v>75.256824991647093</v>
      </c>
      <c r="O74" s="1">
        <v>6.0660614415009197</v>
      </c>
      <c r="P74" s="1">
        <v>0</v>
      </c>
      <c r="Q74" s="15">
        <f>UNIDADES[[#This Row],[AREA PADRAO]]+UNIDADES[[#This Row],[AREA TERRACO]]*0.5</f>
        <v>75.256824991647093</v>
      </c>
      <c r="R74" s="1" t="s">
        <v>392</v>
      </c>
      <c r="S74" s="16" t="s">
        <v>396</v>
      </c>
    </row>
    <row r="75" spans="1:19" x14ac:dyDescent="0.4">
      <c r="A75" t="s">
        <v>324</v>
      </c>
      <c r="B75" s="4" t="s">
        <v>90</v>
      </c>
      <c r="C75" s="1"/>
      <c r="D75" s="13">
        <f>VALUE(_xlfn.TEXTBEFORE(UNIDADES[[#This Row],[UNIDADE]]," "))</f>
        <v>904</v>
      </c>
      <c r="E75" s="13" t="s">
        <v>361</v>
      </c>
      <c r="F75" s="4" t="s">
        <v>224</v>
      </c>
      <c r="G75" s="4" t="s">
        <v>370</v>
      </c>
      <c r="H75" s="4">
        <v>1</v>
      </c>
      <c r="I75" s="4">
        <v>1</v>
      </c>
      <c r="J75" s="13">
        <f>UNIDADES[[#This Row],[SUITES]]+UNIDADES[[#This Row],[QUARTOS]]</f>
        <v>2</v>
      </c>
      <c r="L75" s="4" t="s">
        <v>1</v>
      </c>
      <c r="M75" s="4" t="s">
        <v>190</v>
      </c>
      <c r="N75" s="1">
        <v>54.336053357361202</v>
      </c>
      <c r="O75" s="1">
        <v>3.2515621014301601</v>
      </c>
      <c r="P75" s="1">
        <v>0</v>
      </c>
      <c r="Q75" s="15">
        <f>UNIDADES[[#This Row],[AREA PADRAO]]+UNIDADES[[#This Row],[AREA TERRACO]]*0.5</f>
        <v>54.336053357361202</v>
      </c>
      <c r="R75" s="1" t="s">
        <v>393</v>
      </c>
      <c r="S75" s="1"/>
    </row>
    <row r="76" spans="1:19" x14ac:dyDescent="0.4">
      <c r="A76" t="s">
        <v>311</v>
      </c>
      <c r="B76" s="4" t="s">
        <v>90</v>
      </c>
      <c r="C76" s="1"/>
      <c r="D76" s="13">
        <f>VALUE(_xlfn.TEXTBEFORE(UNIDADES[[#This Row],[UNIDADE]]," "))</f>
        <v>905</v>
      </c>
      <c r="E76" s="13" t="s">
        <v>361</v>
      </c>
      <c r="F76" s="4" t="s">
        <v>223</v>
      </c>
      <c r="G76" s="4" t="s">
        <v>372</v>
      </c>
      <c r="H76" s="4">
        <v>1</v>
      </c>
      <c r="I76" s="4">
        <v>1</v>
      </c>
      <c r="J76" s="13">
        <f>UNIDADES[[#This Row],[SUITES]]+UNIDADES[[#This Row],[QUARTOS]]</f>
        <v>2</v>
      </c>
      <c r="K76" s="4" t="s">
        <v>189</v>
      </c>
      <c r="L76" s="4" t="s">
        <v>1</v>
      </c>
      <c r="M76" s="4" t="s">
        <v>190</v>
      </c>
      <c r="N76" s="1">
        <v>59.501049999999999</v>
      </c>
      <c r="O76" s="1">
        <v>4.6547749999998302</v>
      </c>
      <c r="P76" s="1">
        <v>0</v>
      </c>
      <c r="Q76" s="15">
        <f>UNIDADES[[#This Row],[AREA PADRAO]]+UNIDADES[[#This Row],[AREA TERRACO]]*0.5</f>
        <v>59.501049999999999</v>
      </c>
      <c r="R76" s="1" t="s">
        <v>393</v>
      </c>
      <c r="S76" s="1"/>
    </row>
    <row r="77" spans="1:19" x14ac:dyDescent="0.4">
      <c r="A77" t="s">
        <v>303</v>
      </c>
      <c r="B77" s="4" t="s">
        <v>90</v>
      </c>
      <c r="C77" s="1"/>
      <c r="D77" s="13">
        <f>VALUE(_xlfn.TEXTBEFORE(UNIDADES[[#This Row],[UNIDADE]]," "))</f>
        <v>906</v>
      </c>
      <c r="E77" s="13" t="s">
        <v>361</v>
      </c>
      <c r="F77" s="4" t="s">
        <v>222</v>
      </c>
      <c r="G77" s="4" t="s">
        <v>374</v>
      </c>
      <c r="H77" s="4">
        <v>1</v>
      </c>
      <c r="I77" s="4">
        <v>1</v>
      </c>
      <c r="J77" s="13">
        <f>UNIDADES[[#This Row],[SUITES]]+UNIDADES[[#This Row],[QUARTOS]]</f>
        <v>2</v>
      </c>
      <c r="K77" s="4" t="s">
        <v>189</v>
      </c>
      <c r="L77" s="4" t="s">
        <v>3</v>
      </c>
      <c r="M77" s="4" t="s">
        <v>191</v>
      </c>
      <c r="N77" s="1">
        <v>58.9135503202302</v>
      </c>
      <c r="O77" s="1">
        <v>4.5489749999994196</v>
      </c>
      <c r="P77" s="1">
        <v>0</v>
      </c>
      <c r="Q77" s="15">
        <f>UNIDADES[[#This Row],[AREA PADRAO]]+UNIDADES[[#This Row],[AREA TERRACO]]*0.5</f>
        <v>58.9135503202302</v>
      </c>
      <c r="R77" s="1" t="s">
        <v>393</v>
      </c>
      <c r="S77" s="1"/>
    </row>
    <row r="78" spans="1:19" x14ac:dyDescent="0.4">
      <c r="A78" t="s">
        <v>352</v>
      </c>
      <c r="B78" s="4" t="s">
        <v>90</v>
      </c>
      <c r="C78" s="1"/>
      <c r="D78" s="13">
        <f>VALUE(_xlfn.TEXTBEFORE(UNIDADES[[#This Row],[UNIDADE]]," "))</f>
        <v>907</v>
      </c>
      <c r="E78" s="13" t="s">
        <v>361</v>
      </c>
      <c r="F78" s="4" t="s">
        <v>334</v>
      </c>
      <c r="G78" s="4" t="s">
        <v>376</v>
      </c>
      <c r="H78" s="4">
        <v>1</v>
      </c>
      <c r="I78" s="4">
        <v>1</v>
      </c>
      <c r="J78" s="13">
        <f>UNIDADES[[#This Row],[SUITES]]+UNIDADES[[#This Row],[QUARTOS]]</f>
        <v>2</v>
      </c>
      <c r="L78" s="4" t="s">
        <v>3</v>
      </c>
      <c r="M78" s="4" t="s">
        <v>191</v>
      </c>
      <c r="N78" s="1">
        <v>48.331200057960999</v>
      </c>
      <c r="O78" s="1">
        <v>3.04200000000001</v>
      </c>
      <c r="P78" s="1">
        <v>0</v>
      </c>
      <c r="Q78" s="15">
        <f>UNIDADES[[#This Row],[AREA PADRAO]]+UNIDADES[[#This Row],[AREA TERRACO]]*0.5</f>
        <v>48.331200057960999</v>
      </c>
      <c r="R78" s="1" t="s">
        <v>393</v>
      </c>
      <c r="S78" s="1"/>
    </row>
    <row r="79" spans="1:19" x14ac:dyDescent="0.4">
      <c r="A79" t="s">
        <v>353</v>
      </c>
      <c r="B79" s="4" t="s">
        <v>90</v>
      </c>
      <c r="C79" s="1"/>
      <c r="D79" s="13">
        <f>VALUE(_xlfn.TEXTBEFORE(UNIDADES[[#This Row],[UNIDADE]]," "))</f>
        <v>908</v>
      </c>
      <c r="E79" s="13" t="s">
        <v>361</v>
      </c>
      <c r="F79" s="4" t="s">
        <v>335</v>
      </c>
      <c r="G79" s="4" t="s">
        <v>377</v>
      </c>
      <c r="H79" s="4">
        <v>1</v>
      </c>
      <c r="I79" s="4">
        <v>1</v>
      </c>
      <c r="J79" s="13">
        <f>UNIDADES[[#This Row],[SUITES]]+UNIDADES[[#This Row],[QUARTOS]]</f>
        <v>2</v>
      </c>
      <c r="L79" s="4" t="s">
        <v>3</v>
      </c>
      <c r="M79" s="4" t="s">
        <v>191</v>
      </c>
      <c r="N79" s="1">
        <v>49.052399941747503</v>
      </c>
      <c r="O79" s="1">
        <v>2.3317999999998298</v>
      </c>
      <c r="P79" s="1">
        <v>0</v>
      </c>
      <c r="Q79" s="15">
        <f>UNIDADES[[#This Row],[AREA PADRAO]]+UNIDADES[[#This Row],[AREA TERRACO]]*0.5</f>
        <v>49.052399941747503</v>
      </c>
      <c r="R79" s="1" t="s">
        <v>393</v>
      </c>
      <c r="S79" s="1"/>
    </row>
    <row r="80" spans="1:19" x14ac:dyDescent="0.4">
      <c r="A80" t="s">
        <v>354</v>
      </c>
      <c r="B80" s="4" t="s">
        <v>90</v>
      </c>
      <c r="C80" s="1"/>
      <c r="D80" s="13">
        <f>VALUE(_xlfn.TEXTBEFORE(UNIDADES[[#This Row],[UNIDADE]]," "))</f>
        <v>909</v>
      </c>
      <c r="E80" s="13" t="s">
        <v>361</v>
      </c>
      <c r="F80" s="4" t="s">
        <v>336</v>
      </c>
      <c r="G80" s="4" t="s">
        <v>378</v>
      </c>
      <c r="H80" s="4">
        <v>1</v>
      </c>
      <c r="I80" s="4">
        <v>1</v>
      </c>
      <c r="J80" s="13">
        <f>UNIDADES[[#This Row],[SUITES]]+UNIDADES[[#This Row],[QUARTOS]]</f>
        <v>2</v>
      </c>
      <c r="L80" s="4" t="s">
        <v>3</v>
      </c>
      <c r="M80" s="4" t="s">
        <v>191</v>
      </c>
      <c r="N80" s="1">
        <v>57.580400001903698</v>
      </c>
      <c r="O80" s="1">
        <v>3.4512616588337699</v>
      </c>
      <c r="P80" s="1">
        <v>0</v>
      </c>
      <c r="Q80" s="15">
        <f>UNIDADES[[#This Row],[AREA PADRAO]]+UNIDADES[[#This Row],[AREA TERRACO]]*0.5</f>
        <v>57.580400001903698</v>
      </c>
      <c r="R80" s="1" t="s">
        <v>393</v>
      </c>
      <c r="S80" s="1"/>
    </row>
    <row r="81" spans="1:19" x14ac:dyDescent="0.4">
      <c r="A81" t="s">
        <v>306</v>
      </c>
      <c r="B81" s="4" t="s">
        <v>100</v>
      </c>
      <c r="C81" s="1"/>
      <c r="D81" s="13">
        <f>VALUE(_xlfn.TEXTBEFORE(UNIDADES[[#This Row],[UNIDADE]]," "))</f>
        <v>1001</v>
      </c>
      <c r="E81" s="13" t="s">
        <v>361</v>
      </c>
      <c r="F81" s="4" t="s">
        <v>228</v>
      </c>
      <c r="G81" s="4" t="s">
        <v>364</v>
      </c>
      <c r="H81" s="4">
        <v>3</v>
      </c>
      <c r="I81" s="4">
        <v>0</v>
      </c>
      <c r="J81" s="13">
        <f>UNIDADES[[#This Row],[SUITES]]+UNIDADES[[#This Row],[QUARTOS]]</f>
        <v>3</v>
      </c>
      <c r="K81" s="4" t="s">
        <v>188</v>
      </c>
      <c r="L81" s="4" t="s">
        <v>3</v>
      </c>
      <c r="M81" s="4" t="s">
        <v>191</v>
      </c>
      <c r="N81" s="1">
        <v>107.76375755900401</v>
      </c>
      <c r="O81" s="1">
        <v>6.81024999533639</v>
      </c>
      <c r="P81" s="1">
        <v>0</v>
      </c>
      <c r="Q81" s="15">
        <f>UNIDADES[[#This Row],[AREA PADRAO]]+UNIDADES[[#This Row],[AREA TERRACO]]*0.5</f>
        <v>107.76375755900401</v>
      </c>
      <c r="R81" s="1" t="s">
        <v>390</v>
      </c>
      <c r="S81" s="16" t="s">
        <v>396</v>
      </c>
    </row>
    <row r="82" spans="1:19" x14ac:dyDescent="0.4">
      <c r="A82" t="s">
        <v>296</v>
      </c>
      <c r="B82" s="4" t="s">
        <v>100</v>
      </c>
      <c r="C82" s="1"/>
      <c r="D82" s="13">
        <f>VALUE(_xlfn.TEXTBEFORE(UNIDADES[[#This Row],[UNIDADE]]," "))</f>
        <v>1002</v>
      </c>
      <c r="E82" s="13" t="s">
        <v>361</v>
      </c>
      <c r="F82" s="4" t="s">
        <v>229</v>
      </c>
      <c r="G82" s="4" t="s">
        <v>366</v>
      </c>
      <c r="H82" s="4">
        <v>3</v>
      </c>
      <c r="I82" s="4">
        <v>0</v>
      </c>
      <c r="J82" s="13">
        <f>UNIDADES[[#This Row],[SUITES]]+UNIDADES[[#This Row],[QUARTOS]]</f>
        <v>3</v>
      </c>
      <c r="K82" s="4" t="s">
        <v>188</v>
      </c>
      <c r="L82" s="4" t="s">
        <v>1</v>
      </c>
      <c r="M82" s="4" t="s">
        <v>190</v>
      </c>
      <c r="N82" s="1">
        <v>107.333257557005</v>
      </c>
      <c r="O82" s="1">
        <v>4.0860000000002303</v>
      </c>
      <c r="P82" s="1">
        <v>0</v>
      </c>
      <c r="Q82" s="15">
        <f>UNIDADES[[#This Row],[AREA PADRAO]]+UNIDADES[[#This Row],[AREA TERRACO]]*0.5</f>
        <v>107.333257557005</v>
      </c>
      <c r="R82" s="1" t="s">
        <v>390</v>
      </c>
      <c r="S82" s="16" t="s">
        <v>396</v>
      </c>
    </row>
    <row r="83" spans="1:19" x14ac:dyDescent="0.4">
      <c r="A83" t="s">
        <v>289</v>
      </c>
      <c r="B83" s="4" t="s">
        <v>100</v>
      </c>
      <c r="C83" s="1"/>
      <c r="D83" s="13">
        <f>VALUE(_xlfn.TEXTBEFORE(UNIDADES[[#This Row],[UNIDADE]]," "))</f>
        <v>1003</v>
      </c>
      <c r="E83" s="13" t="s">
        <v>361</v>
      </c>
      <c r="F83" s="4" t="s">
        <v>230</v>
      </c>
      <c r="G83" s="4" t="s">
        <v>368</v>
      </c>
      <c r="H83" s="4">
        <v>3</v>
      </c>
      <c r="I83" s="4">
        <v>0</v>
      </c>
      <c r="J83" s="13">
        <f>UNIDADES[[#This Row],[SUITES]]+UNIDADES[[#This Row],[QUARTOS]]</f>
        <v>3</v>
      </c>
      <c r="L83" s="4" t="s">
        <v>1</v>
      </c>
      <c r="M83" s="4" t="s">
        <v>190</v>
      </c>
      <c r="N83" s="1">
        <v>75.988299987721106</v>
      </c>
      <c r="O83" s="1">
        <v>5.5006999999998696</v>
      </c>
      <c r="P83" s="1">
        <v>0</v>
      </c>
      <c r="Q83" s="15">
        <f>UNIDADES[[#This Row],[AREA PADRAO]]+UNIDADES[[#This Row],[AREA TERRACO]]*0.5</f>
        <v>75.988299987721106</v>
      </c>
      <c r="R83" s="1" t="s">
        <v>392</v>
      </c>
      <c r="S83" s="16" t="s">
        <v>396</v>
      </c>
    </row>
    <row r="84" spans="1:19" x14ac:dyDescent="0.4">
      <c r="A84" t="s">
        <v>323</v>
      </c>
      <c r="B84" s="4" t="s">
        <v>100</v>
      </c>
      <c r="C84" s="1"/>
      <c r="D84" s="13">
        <f>VALUE(_xlfn.TEXTBEFORE(UNIDADES[[#This Row],[UNIDADE]]," "))</f>
        <v>1004</v>
      </c>
      <c r="E84" s="13" t="s">
        <v>361</v>
      </c>
      <c r="F84" s="4" t="s">
        <v>231</v>
      </c>
      <c r="G84" s="4" t="s">
        <v>370</v>
      </c>
      <c r="H84" s="4">
        <v>1</v>
      </c>
      <c r="I84" s="4">
        <v>1</v>
      </c>
      <c r="J84" s="13">
        <f>UNIDADES[[#This Row],[SUITES]]+UNIDADES[[#This Row],[QUARTOS]]</f>
        <v>2</v>
      </c>
      <c r="L84" s="4" t="s">
        <v>1</v>
      </c>
      <c r="M84" s="4" t="s">
        <v>190</v>
      </c>
      <c r="N84" s="1">
        <v>54.312999998096998</v>
      </c>
      <c r="O84" s="1">
        <v>3.0779999942888701</v>
      </c>
      <c r="P84" s="1">
        <v>0</v>
      </c>
      <c r="Q84" s="15">
        <f>UNIDADES[[#This Row],[AREA PADRAO]]+UNIDADES[[#This Row],[AREA TERRACO]]*0.5</f>
        <v>54.312999998096998</v>
      </c>
      <c r="R84" s="1" t="s">
        <v>393</v>
      </c>
      <c r="S84" s="1"/>
    </row>
    <row r="85" spans="1:19" x14ac:dyDescent="0.4">
      <c r="A85" t="s">
        <v>312</v>
      </c>
      <c r="B85" s="4" t="s">
        <v>100</v>
      </c>
      <c r="C85" s="1"/>
      <c r="D85" s="13">
        <f>VALUE(_xlfn.TEXTBEFORE(UNIDADES[[#This Row],[UNIDADE]]," "))</f>
        <v>1005</v>
      </c>
      <c r="E85" s="13" t="s">
        <v>361</v>
      </c>
      <c r="F85" s="4" t="s">
        <v>232</v>
      </c>
      <c r="G85" s="4" t="s">
        <v>372</v>
      </c>
      <c r="H85" s="4">
        <v>1</v>
      </c>
      <c r="I85" s="4">
        <v>1</v>
      </c>
      <c r="J85" s="13">
        <f>UNIDADES[[#This Row],[SUITES]]+UNIDADES[[#This Row],[QUARTOS]]</f>
        <v>2</v>
      </c>
      <c r="K85" s="4" t="s">
        <v>189</v>
      </c>
      <c r="L85" s="4" t="s">
        <v>1</v>
      </c>
      <c r="M85" s="4" t="s">
        <v>190</v>
      </c>
      <c r="N85" s="1">
        <v>59.500987689683299</v>
      </c>
      <c r="O85" s="1">
        <v>4.6546370784516995</v>
      </c>
      <c r="P85" s="1">
        <v>0</v>
      </c>
      <c r="Q85" s="15">
        <f>UNIDADES[[#This Row],[AREA PADRAO]]+UNIDADES[[#This Row],[AREA TERRACO]]*0.5</f>
        <v>59.500987689683299</v>
      </c>
      <c r="R85" s="1" t="s">
        <v>393</v>
      </c>
      <c r="S85" s="1"/>
    </row>
    <row r="86" spans="1:19" x14ac:dyDescent="0.4">
      <c r="A86" t="s">
        <v>302</v>
      </c>
      <c r="B86" s="4" t="s">
        <v>100</v>
      </c>
      <c r="C86" s="1"/>
      <c r="D86" s="13">
        <f>VALUE(_xlfn.TEXTBEFORE(UNIDADES[[#This Row],[UNIDADE]]," "))</f>
        <v>1006</v>
      </c>
      <c r="E86" s="13" t="s">
        <v>361</v>
      </c>
      <c r="F86" s="4" t="s">
        <v>233</v>
      </c>
      <c r="G86" s="4" t="s">
        <v>374</v>
      </c>
      <c r="H86" s="4">
        <v>1</v>
      </c>
      <c r="I86" s="4">
        <v>1</v>
      </c>
      <c r="J86" s="13">
        <f>UNIDADES[[#This Row],[SUITES]]+UNIDADES[[#This Row],[QUARTOS]]</f>
        <v>2</v>
      </c>
      <c r="K86" s="4" t="s">
        <v>189</v>
      </c>
      <c r="L86" s="4" t="s">
        <v>3</v>
      </c>
      <c r="M86" s="4" t="s">
        <v>191</v>
      </c>
      <c r="N86" s="1">
        <v>58.913550312519497</v>
      </c>
      <c r="O86" s="1">
        <v>4.5489749967164101</v>
      </c>
      <c r="P86" s="1">
        <v>0</v>
      </c>
      <c r="Q86" s="15">
        <f>UNIDADES[[#This Row],[AREA PADRAO]]+UNIDADES[[#This Row],[AREA TERRACO]]*0.5</f>
        <v>58.913550312519497</v>
      </c>
      <c r="R86" s="1" t="s">
        <v>393</v>
      </c>
      <c r="S86" s="1"/>
    </row>
    <row r="87" spans="1:19" x14ac:dyDescent="0.4">
      <c r="A87" t="s">
        <v>355</v>
      </c>
      <c r="B87" s="4" t="s">
        <v>100</v>
      </c>
      <c r="C87" s="1"/>
      <c r="D87" s="13">
        <f>VALUE(_xlfn.TEXTBEFORE(UNIDADES[[#This Row],[UNIDADE]]," "))</f>
        <v>1007</v>
      </c>
      <c r="E87" s="13" t="s">
        <v>361</v>
      </c>
      <c r="F87" s="4" t="s">
        <v>331</v>
      </c>
      <c r="G87" s="4" t="s">
        <v>376</v>
      </c>
      <c r="H87" s="4">
        <v>1</v>
      </c>
      <c r="I87" s="4">
        <v>1</v>
      </c>
      <c r="J87" s="13">
        <f>UNIDADES[[#This Row],[SUITES]]+UNIDADES[[#This Row],[QUARTOS]]</f>
        <v>2</v>
      </c>
      <c r="L87" s="4" t="s">
        <v>3</v>
      </c>
      <c r="M87" s="4" t="s">
        <v>191</v>
      </c>
      <c r="N87" s="1">
        <v>48.827200057960503</v>
      </c>
      <c r="O87" s="1">
        <v>4.5120000000001603</v>
      </c>
      <c r="P87" s="1">
        <v>0</v>
      </c>
      <c r="Q87" s="15">
        <f>UNIDADES[[#This Row],[AREA PADRAO]]+UNIDADES[[#This Row],[AREA TERRACO]]*0.5</f>
        <v>48.827200057960503</v>
      </c>
      <c r="R87" s="1" t="s">
        <v>393</v>
      </c>
      <c r="S87" s="1"/>
    </row>
    <row r="88" spans="1:19" x14ac:dyDescent="0.4">
      <c r="A88" t="s">
        <v>356</v>
      </c>
      <c r="B88" s="4" t="s">
        <v>100</v>
      </c>
      <c r="C88" s="1"/>
      <c r="D88" s="13">
        <f>VALUE(_xlfn.TEXTBEFORE(UNIDADES[[#This Row],[UNIDADE]]," "))</f>
        <v>1008</v>
      </c>
      <c r="E88" s="13" t="s">
        <v>361</v>
      </c>
      <c r="F88" s="4" t="s">
        <v>332</v>
      </c>
      <c r="G88" s="4" t="s">
        <v>377</v>
      </c>
      <c r="H88" s="4">
        <v>1</v>
      </c>
      <c r="I88" s="4">
        <v>1</v>
      </c>
      <c r="J88" s="13">
        <f>UNIDADES[[#This Row],[SUITES]]+UNIDADES[[#This Row],[QUARTOS]]</f>
        <v>2</v>
      </c>
      <c r="L88" s="4" t="s">
        <v>3</v>
      </c>
      <c r="M88" s="4" t="s">
        <v>191</v>
      </c>
      <c r="N88" s="1">
        <v>48.566399941747498</v>
      </c>
      <c r="O88" s="1">
        <v>2.2630162639399498</v>
      </c>
      <c r="P88" s="1">
        <v>0</v>
      </c>
      <c r="Q88" s="15">
        <f>UNIDADES[[#This Row],[AREA PADRAO]]+UNIDADES[[#This Row],[AREA TERRACO]]*0.5</f>
        <v>48.566399941747498</v>
      </c>
      <c r="R88" s="1" t="s">
        <v>393</v>
      </c>
      <c r="S88" s="1"/>
    </row>
    <row r="89" spans="1:19" x14ac:dyDescent="0.4">
      <c r="A89" t="s">
        <v>357</v>
      </c>
      <c r="B89" s="4" t="s">
        <v>100</v>
      </c>
      <c r="C89" s="1"/>
      <c r="D89" s="13">
        <f>VALUE(_xlfn.TEXTBEFORE(UNIDADES[[#This Row],[UNIDADE]]," "))</f>
        <v>1009</v>
      </c>
      <c r="E89" s="13" t="s">
        <v>361</v>
      </c>
      <c r="F89" s="4" t="s">
        <v>333</v>
      </c>
      <c r="G89" s="4" t="s">
        <v>378</v>
      </c>
      <c r="H89" s="4">
        <v>1</v>
      </c>
      <c r="I89" s="4">
        <v>1</v>
      </c>
      <c r="J89" s="13">
        <f>UNIDADES[[#This Row],[SUITES]]+UNIDADES[[#This Row],[QUARTOS]]</f>
        <v>2</v>
      </c>
      <c r="L89" s="4" t="s">
        <v>3</v>
      </c>
      <c r="M89" s="4" t="s">
        <v>191</v>
      </c>
      <c r="N89" s="1">
        <v>56.968400000000202</v>
      </c>
      <c r="O89" s="1">
        <v>2.7474655278330302</v>
      </c>
      <c r="P89" s="1">
        <v>0</v>
      </c>
      <c r="Q89" s="15">
        <f>UNIDADES[[#This Row],[AREA PADRAO]]+UNIDADES[[#This Row],[AREA TERRACO]]*0.5</f>
        <v>56.968400000000202</v>
      </c>
      <c r="R89" s="1" t="s">
        <v>393</v>
      </c>
      <c r="S89" s="1"/>
    </row>
    <row r="90" spans="1:19" x14ac:dyDescent="0.4">
      <c r="A90" t="s">
        <v>305</v>
      </c>
      <c r="B90" s="4" t="s">
        <v>110</v>
      </c>
      <c r="C90" s="1"/>
      <c r="D90" s="13">
        <f>VALUE(_xlfn.TEXTBEFORE(UNIDADES[[#This Row],[UNIDADE]]," "))</f>
        <v>1101</v>
      </c>
      <c r="E90" s="13" t="s">
        <v>361</v>
      </c>
      <c r="F90" s="4" t="s">
        <v>305</v>
      </c>
      <c r="G90" s="4" t="s">
        <v>364</v>
      </c>
      <c r="H90" s="4">
        <v>3</v>
      </c>
      <c r="I90" s="4">
        <v>0</v>
      </c>
      <c r="J90" s="13">
        <f>UNIDADES[[#This Row],[SUITES]]+UNIDADES[[#This Row],[QUARTOS]]</f>
        <v>3</v>
      </c>
      <c r="K90" s="4" t="s">
        <v>188</v>
      </c>
      <c r="L90" s="4" t="s">
        <v>3</v>
      </c>
      <c r="M90" s="4" t="s">
        <v>191</v>
      </c>
      <c r="N90" s="1">
        <v>106.93295755635</v>
      </c>
      <c r="O90" s="1">
        <v>4.0763124858182396</v>
      </c>
      <c r="P90" s="1">
        <v>0</v>
      </c>
      <c r="Q90" s="15">
        <f>UNIDADES[[#This Row],[AREA PADRAO]]+UNIDADES[[#This Row],[AREA TERRACO]]*0.5</f>
        <v>106.93295755635</v>
      </c>
      <c r="R90" s="1" t="s">
        <v>390</v>
      </c>
      <c r="S90" s="16" t="s">
        <v>396</v>
      </c>
    </row>
    <row r="91" spans="1:19" x14ac:dyDescent="0.4">
      <c r="A91" t="s">
        <v>297</v>
      </c>
      <c r="B91" s="4" t="s">
        <v>110</v>
      </c>
      <c r="C91" s="1"/>
      <c r="D91" s="13">
        <f>VALUE(_xlfn.TEXTBEFORE(UNIDADES[[#This Row],[UNIDADE]]," "))</f>
        <v>1102</v>
      </c>
      <c r="E91" s="13" t="s">
        <v>361</v>
      </c>
      <c r="F91" s="4" t="s">
        <v>297</v>
      </c>
      <c r="G91" s="4" t="s">
        <v>366</v>
      </c>
      <c r="H91" s="4">
        <v>3</v>
      </c>
      <c r="I91" s="4">
        <v>0</v>
      </c>
      <c r="J91" s="13">
        <f>UNIDADES[[#This Row],[SUITES]]+UNIDADES[[#This Row],[QUARTOS]]</f>
        <v>3</v>
      </c>
      <c r="K91" s="4" t="s">
        <v>188</v>
      </c>
      <c r="L91" s="4" t="s">
        <v>1</v>
      </c>
      <c r="M91" s="4" t="s">
        <v>190</v>
      </c>
      <c r="N91" s="1">
        <v>107.136657558349</v>
      </c>
      <c r="O91" s="1">
        <v>3.5340000000001601</v>
      </c>
      <c r="P91" s="1">
        <v>0</v>
      </c>
      <c r="Q91" s="15">
        <f>UNIDADES[[#This Row],[AREA PADRAO]]+UNIDADES[[#This Row],[AREA TERRACO]]*0.5</f>
        <v>107.136657558349</v>
      </c>
      <c r="R91" s="1" t="s">
        <v>390</v>
      </c>
      <c r="S91" s="16" t="s">
        <v>396</v>
      </c>
    </row>
    <row r="92" spans="1:19" x14ac:dyDescent="0.4">
      <c r="A92" t="s">
        <v>284</v>
      </c>
      <c r="B92" s="4" t="s">
        <v>110</v>
      </c>
      <c r="C92" s="1"/>
      <c r="D92" s="13">
        <f>VALUE(_xlfn.TEXTBEFORE(UNIDADES[[#This Row],[UNIDADE]]," "))</f>
        <v>1103</v>
      </c>
      <c r="E92" s="13" t="s">
        <v>361</v>
      </c>
      <c r="F92" s="4" t="s">
        <v>284</v>
      </c>
      <c r="G92" s="4" t="s">
        <v>368</v>
      </c>
      <c r="H92" s="4">
        <v>3</v>
      </c>
      <c r="I92" s="4">
        <v>0</v>
      </c>
      <c r="J92" s="13">
        <f>UNIDADES[[#This Row],[SUITES]]+UNIDADES[[#This Row],[QUARTOS]]</f>
        <v>3</v>
      </c>
      <c r="L92" s="4" t="s">
        <v>1</v>
      </c>
      <c r="M92" s="4" t="s">
        <v>190</v>
      </c>
      <c r="N92" s="1">
        <v>75.256824991647093</v>
      </c>
      <c r="O92" s="1">
        <v>6.0660614415009197</v>
      </c>
      <c r="P92" s="1">
        <v>0</v>
      </c>
      <c r="Q92" s="15">
        <f>UNIDADES[[#This Row],[AREA PADRAO]]+UNIDADES[[#This Row],[AREA TERRACO]]*0.5</f>
        <v>75.256824991647093</v>
      </c>
      <c r="R92" s="1" t="s">
        <v>392</v>
      </c>
      <c r="S92" s="16" t="s">
        <v>396</v>
      </c>
    </row>
    <row r="93" spans="1:19" x14ac:dyDescent="0.4">
      <c r="A93" t="s">
        <v>322</v>
      </c>
      <c r="B93" s="4" t="s">
        <v>110</v>
      </c>
      <c r="C93" s="1"/>
      <c r="D93" s="13">
        <f>VALUE(_xlfn.TEXTBEFORE(UNIDADES[[#This Row],[UNIDADE]]," "))</f>
        <v>1104</v>
      </c>
      <c r="E93" s="13" t="s">
        <v>361</v>
      </c>
      <c r="F93" s="4" t="s">
        <v>322</v>
      </c>
      <c r="G93" s="4" t="s">
        <v>370</v>
      </c>
      <c r="H93" s="4">
        <v>1</v>
      </c>
      <c r="I93" s="4">
        <v>1</v>
      </c>
      <c r="J93" s="13">
        <f>UNIDADES[[#This Row],[SUITES]]+UNIDADES[[#This Row],[QUARTOS]]</f>
        <v>2</v>
      </c>
      <c r="L93" s="4" t="s">
        <v>1</v>
      </c>
      <c r="M93" s="4" t="s">
        <v>190</v>
      </c>
      <c r="N93" s="1">
        <v>54.336053357361202</v>
      </c>
      <c r="O93" s="1">
        <v>3.2515621014301601</v>
      </c>
      <c r="P93" s="1">
        <v>0</v>
      </c>
      <c r="Q93" s="15">
        <f>UNIDADES[[#This Row],[AREA PADRAO]]+UNIDADES[[#This Row],[AREA TERRACO]]*0.5</f>
        <v>54.336053357361202</v>
      </c>
      <c r="R93" s="1" t="s">
        <v>393</v>
      </c>
      <c r="S93" s="1"/>
    </row>
    <row r="94" spans="1:19" x14ac:dyDescent="0.4">
      <c r="A94" t="s">
        <v>313</v>
      </c>
      <c r="B94" s="4" t="s">
        <v>110</v>
      </c>
      <c r="C94" s="1"/>
      <c r="D94" s="13">
        <f>VALUE(_xlfn.TEXTBEFORE(UNIDADES[[#This Row],[UNIDADE]]," "))</f>
        <v>1105</v>
      </c>
      <c r="E94" s="13" t="s">
        <v>361</v>
      </c>
      <c r="F94" s="4" t="s">
        <v>313</v>
      </c>
      <c r="G94" s="4" t="s">
        <v>372</v>
      </c>
      <c r="H94" s="4">
        <v>1</v>
      </c>
      <c r="I94" s="4">
        <v>1</v>
      </c>
      <c r="J94" s="13">
        <f>UNIDADES[[#This Row],[SUITES]]+UNIDADES[[#This Row],[QUARTOS]]</f>
        <v>2</v>
      </c>
      <c r="K94" s="4" t="s">
        <v>189</v>
      </c>
      <c r="L94" s="4" t="s">
        <v>1</v>
      </c>
      <c r="M94" s="4" t="s">
        <v>190</v>
      </c>
      <c r="N94" s="1">
        <v>59.501049999999999</v>
      </c>
      <c r="O94" s="1">
        <v>4.6547749999998302</v>
      </c>
      <c r="P94" s="1">
        <v>0</v>
      </c>
      <c r="Q94" s="15">
        <f>UNIDADES[[#This Row],[AREA PADRAO]]+UNIDADES[[#This Row],[AREA TERRACO]]*0.5</f>
        <v>59.501049999999999</v>
      </c>
      <c r="R94" s="1" t="s">
        <v>393</v>
      </c>
      <c r="S94" s="1"/>
    </row>
    <row r="95" spans="1:19" x14ac:dyDescent="0.4">
      <c r="A95" t="s">
        <v>301</v>
      </c>
      <c r="B95" s="4" t="s">
        <v>110</v>
      </c>
      <c r="C95" s="1"/>
      <c r="D95" s="13">
        <f>VALUE(_xlfn.TEXTBEFORE(UNIDADES[[#This Row],[UNIDADE]]," "))</f>
        <v>1106</v>
      </c>
      <c r="E95" s="13" t="s">
        <v>361</v>
      </c>
      <c r="F95" s="4" t="s">
        <v>301</v>
      </c>
      <c r="G95" s="4" t="s">
        <v>374</v>
      </c>
      <c r="H95" s="4">
        <v>1</v>
      </c>
      <c r="I95" s="4">
        <v>1</v>
      </c>
      <c r="J95" s="13">
        <f>UNIDADES[[#This Row],[SUITES]]+UNIDADES[[#This Row],[QUARTOS]]</f>
        <v>2</v>
      </c>
      <c r="K95" s="4" t="s">
        <v>189</v>
      </c>
      <c r="L95" s="4" t="s">
        <v>3</v>
      </c>
      <c r="M95" s="4" t="s">
        <v>191</v>
      </c>
      <c r="N95" s="1">
        <v>58.9135503202302</v>
      </c>
      <c r="O95" s="1">
        <v>4.5489749999994196</v>
      </c>
      <c r="P95" s="1">
        <v>0</v>
      </c>
      <c r="Q95" s="15">
        <f>UNIDADES[[#This Row],[AREA PADRAO]]+UNIDADES[[#This Row],[AREA TERRACO]]*0.5</f>
        <v>58.9135503202302</v>
      </c>
      <c r="R95" s="1" t="s">
        <v>393</v>
      </c>
      <c r="S95" s="1"/>
    </row>
    <row r="96" spans="1:19" x14ac:dyDescent="0.4">
      <c r="A96" t="s">
        <v>358</v>
      </c>
      <c r="B96" s="4" t="s">
        <v>110</v>
      </c>
      <c r="C96" s="1"/>
      <c r="D96" s="13">
        <f>VALUE(_xlfn.TEXTBEFORE(UNIDADES[[#This Row],[UNIDADE]]," "))</f>
        <v>1107</v>
      </c>
      <c r="E96" s="13" t="s">
        <v>361</v>
      </c>
      <c r="F96" s="4" t="s">
        <v>358</v>
      </c>
      <c r="G96" s="4" t="s">
        <v>376</v>
      </c>
      <c r="H96" s="4">
        <v>1</v>
      </c>
      <c r="I96" s="4">
        <v>1</v>
      </c>
      <c r="J96" s="13">
        <f>UNIDADES[[#This Row],[SUITES]]+UNIDADES[[#This Row],[QUARTOS]]</f>
        <v>2</v>
      </c>
      <c r="L96" s="4" t="s">
        <v>3</v>
      </c>
      <c r="M96" s="4" t="s">
        <v>191</v>
      </c>
      <c r="N96" s="1">
        <v>48.331200057960999</v>
      </c>
      <c r="O96" s="1">
        <v>3.04200000000001</v>
      </c>
      <c r="P96" s="1">
        <v>0</v>
      </c>
      <c r="Q96" s="15">
        <f>UNIDADES[[#This Row],[AREA PADRAO]]+UNIDADES[[#This Row],[AREA TERRACO]]*0.5</f>
        <v>48.331200057960999</v>
      </c>
      <c r="R96" s="1" t="s">
        <v>393</v>
      </c>
      <c r="S96" s="1"/>
    </row>
    <row r="97" spans="1:19" x14ac:dyDescent="0.4">
      <c r="A97" t="s">
        <v>359</v>
      </c>
      <c r="B97" s="4" t="s">
        <v>110</v>
      </c>
      <c r="C97" s="1"/>
      <c r="D97" s="13">
        <f>VALUE(_xlfn.TEXTBEFORE(UNIDADES[[#This Row],[UNIDADE]]," "))</f>
        <v>1108</v>
      </c>
      <c r="E97" s="13" t="s">
        <v>361</v>
      </c>
      <c r="F97" s="4" t="s">
        <v>359</v>
      </c>
      <c r="G97" s="4" t="s">
        <v>377</v>
      </c>
      <c r="H97" s="4">
        <v>1</v>
      </c>
      <c r="I97" s="4">
        <v>1</v>
      </c>
      <c r="J97" s="13">
        <f>UNIDADES[[#This Row],[SUITES]]+UNIDADES[[#This Row],[QUARTOS]]</f>
        <v>2</v>
      </c>
      <c r="L97" s="4" t="s">
        <v>3</v>
      </c>
      <c r="M97" s="4" t="s">
        <v>191</v>
      </c>
      <c r="N97" s="1">
        <v>49.052399941747503</v>
      </c>
      <c r="O97" s="1">
        <v>2.3317999999998298</v>
      </c>
      <c r="P97" s="1">
        <v>0</v>
      </c>
      <c r="Q97" s="15">
        <f>UNIDADES[[#This Row],[AREA PADRAO]]+UNIDADES[[#This Row],[AREA TERRACO]]*0.5</f>
        <v>49.052399941747503</v>
      </c>
      <c r="R97" s="1" t="s">
        <v>393</v>
      </c>
      <c r="S97" s="1"/>
    </row>
    <row r="98" spans="1:19" x14ac:dyDescent="0.4">
      <c r="A98" t="s">
        <v>360</v>
      </c>
      <c r="B98" s="4" t="s">
        <v>110</v>
      </c>
      <c r="C98" s="1"/>
      <c r="D98" s="13">
        <f>VALUE(_xlfn.TEXTBEFORE(UNIDADES[[#This Row],[UNIDADE]]," "))</f>
        <v>1109</v>
      </c>
      <c r="E98" s="13" t="s">
        <v>361</v>
      </c>
      <c r="F98" s="4" t="s">
        <v>360</v>
      </c>
      <c r="G98" s="4" t="s">
        <v>378</v>
      </c>
      <c r="H98" s="4">
        <v>1</v>
      </c>
      <c r="I98" s="4">
        <v>1</v>
      </c>
      <c r="J98" s="13">
        <f>UNIDADES[[#This Row],[SUITES]]+UNIDADES[[#This Row],[QUARTOS]]</f>
        <v>2</v>
      </c>
      <c r="L98" s="4" t="s">
        <v>3</v>
      </c>
      <c r="M98" s="4" t="s">
        <v>191</v>
      </c>
      <c r="N98" s="1">
        <v>57.580400001903698</v>
      </c>
      <c r="O98" s="1">
        <v>3.4512616588337699</v>
      </c>
      <c r="P98" s="1">
        <v>0</v>
      </c>
      <c r="Q98" s="15">
        <f>UNIDADES[[#This Row],[AREA PADRAO]]+UNIDADES[[#This Row],[AREA TERRACO]]*0.5</f>
        <v>57.580400001903698</v>
      </c>
      <c r="R98" s="1" t="s">
        <v>393</v>
      </c>
      <c r="S98" s="1"/>
    </row>
    <row r="99" spans="1:19" x14ac:dyDescent="0.4">
      <c r="A99" t="s">
        <v>204</v>
      </c>
      <c r="B99" s="4" t="s">
        <v>12</v>
      </c>
      <c r="C99" s="1"/>
      <c r="D99" s="13">
        <f>VALUE(_xlfn.TEXTBEFORE(UNIDADES[[#This Row],[UNIDADE]]," "))</f>
        <v>101</v>
      </c>
      <c r="E99" s="13" t="s">
        <v>362</v>
      </c>
      <c r="F99" s="4" t="s">
        <v>204</v>
      </c>
      <c r="G99" s="4" t="s">
        <v>365</v>
      </c>
      <c r="H99" s="4">
        <v>3</v>
      </c>
      <c r="I99" s="4">
        <v>0</v>
      </c>
      <c r="J99" s="13">
        <f>UNIDADES[[#This Row],[SUITES]]+UNIDADES[[#This Row],[QUARTOS]]</f>
        <v>3</v>
      </c>
      <c r="K99" s="4" t="s">
        <v>188</v>
      </c>
      <c r="L99" s="4" t="s">
        <v>3</v>
      </c>
      <c r="M99" s="4" t="s">
        <v>190</v>
      </c>
      <c r="N99" s="1">
        <v>107.13665749618301</v>
      </c>
      <c r="O99" s="1">
        <v>3.5759999999999401</v>
      </c>
      <c r="P99" s="1">
        <v>0</v>
      </c>
      <c r="Q99" s="15">
        <f>UNIDADES[[#This Row],[AREA PADRAO]]+UNIDADES[[#This Row],[AREA TERRACO]]*0.5</f>
        <v>107.13665749618301</v>
      </c>
      <c r="R99" s="1" t="s">
        <v>390</v>
      </c>
      <c r="S99" s="16" t="s">
        <v>396</v>
      </c>
    </row>
    <row r="100" spans="1:19" x14ac:dyDescent="0.4">
      <c r="A100" t="s">
        <v>205</v>
      </c>
      <c r="B100" s="4" t="s">
        <v>12</v>
      </c>
      <c r="C100" s="1"/>
      <c r="D100" s="13">
        <f>VALUE(_xlfn.TEXTBEFORE(UNIDADES[[#This Row],[UNIDADE]]," "))</f>
        <v>102</v>
      </c>
      <c r="E100" s="13" t="s">
        <v>362</v>
      </c>
      <c r="F100" s="4" t="s">
        <v>205</v>
      </c>
      <c r="G100" s="4" t="s">
        <v>367</v>
      </c>
      <c r="H100" s="4">
        <v>3</v>
      </c>
      <c r="I100" s="4">
        <v>0</v>
      </c>
      <c r="J100" s="13">
        <f>UNIDADES[[#This Row],[SUITES]]+UNIDADES[[#This Row],[QUARTOS]]</f>
        <v>3</v>
      </c>
      <c r="K100" s="4" t="s">
        <v>188</v>
      </c>
      <c r="L100" s="4" t="s">
        <v>1</v>
      </c>
      <c r="M100" s="4" t="s">
        <v>191</v>
      </c>
      <c r="N100" s="1">
        <v>106.830057496183</v>
      </c>
      <c r="O100" s="1">
        <v>2.65799999999994</v>
      </c>
      <c r="P100" s="1">
        <v>0</v>
      </c>
      <c r="Q100" s="15">
        <f>UNIDADES[[#This Row],[AREA PADRAO]]+UNIDADES[[#This Row],[AREA TERRACO]]*0.5</f>
        <v>106.830057496183</v>
      </c>
      <c r="R100" s="1" t="s">
        <v>390</v>
      </c>
      <c r="S100" s="16" t="s">
        <v>396</v>
      </c>
    </row>
    <row r="101" spans="1:19" x14ac:dyDescent="0.4">
      <c r="A101" t="s">
        <v>206</v>
      </c>
      <c r="B101" s="4" t="s">
        <v>12</v>
      </c>
      <c r="C101" s="1"/>
      <c r="D101" s="13">
        <f>VALUE(_xlfn.TEXTBEFORE(UNIDADES[[#This Row],[UNIDADE]]," "))</f>
        <v>103</v>
      </c>
      <c r="E101" s="13" t="s">
        <v>362</v>
      </c>
      <c r="F101" s="4" t="s">
        <v>206</v>
      </c>
      <c r="G101" s="4" t="s">
        <v>369</v>
      </c>
      <c r="H101" s="4">
        <v>3</v>
      </c>
      <c r="I101" s="4">
        <v>0</v>
      </c>
      <c r="J101" s="13">
        <f>UNIDADES[[#This Row],[SUITES]]+UNIDADES[[#This Row],[QUARTOS]]</f>
        <v>3</v>
      </c>
      <c r="L101" s="4" t="s">
        <v>1</v>
      </c>
      <c r="M101" s="4" t="s">
        <v>191</v>
      </c>
      <c r="N101" s="1">
        <v>73.431622938558505</v>
      </c>
      <c r="O101" s="1">
        <v>3.6090010382915398</v>
      </c>
      <c r="P101" s="1">
        <v>0</v>
      </c>
      <c r="Q101" s="15">
        <f>UNIDADES[[#This Row],[AREA PADRAO]]+UNIDADES[[#This Row],[AREA TERRACO]]*0.5</f>
        <v>73.431622938558505</v>
      </c>
      <c r="R101" s="1" t="s">
        <v>392</v>
      </c>
      <c r="S101" s="16" t="s">
        <v>396</v>
      </c>
    </row>
    <row r="102" spans="1:19" x14ac:dyDescent="0.4">
      <c r="A102" t="s">
        <v>207</v>
      </c>
      <c r="B102" s="4" t="s">
        <v>12</v>
      </c>
      <c r="C102" s="1"/>
      <c r="D102" s="13">
        <f>VALUE(_xlfn.TEXTBEFORE(UNIDADES[[#This Row],[UNIDADE]]," "))</f>
        <v>104</v>
      </c>
      <c r="E102" s="13" t="s">
        <v>362</v>
      </c>
      <c r="F102" s="4" t="s">
        <v>207</v>
      </c>
      <c r="G102" s="4" t="s">
        <v>371</v>
      </c>
      <c r="H102" s="4">
        <v>3</v>
      </c>
      <c r="I102" s="4">
        <v>0</v>
      </c>
      <c r="J102" s="13">
        <f>UNIDADES[[#This Row],[SUITES]]+UNIDADES[[#This Row],[QUARTOS]]</f>
        <v>3</v>
      </c>
      <c r="K102" s="4" t="s">
        <v>189</v>
      </c>
      <c r="L102" s="4" t="s">
        <v>1</v>
      </c>
      <c r="M102" s="4" t="s">
        <v>191</v>
      </c>
      <c r="N102" s="1">
        <v>83.925600000000102</v>
      </c>
      <c r="O102" s="1">
        <v>4.0138499999998487</v>
      </c>
      <c r="P102" s="1">
        <v>0</v>
      </c>
      <c r="Q102" s="15">
        <f>UNIDADES[[#This Row],[AREA PADRAO]]+UNIDADES[[#This Row],[AREA TERRACO]]*0.5</f>
        <v>83.925600000000102</v>
      </c>
      <c r="R102" s="1" t="s">
        <v>392</v>
      </c>
      <c r="S102" s="16" t="s">
        <v>395</v>
      </c>
    </row>
    <row r="103" spans="1:19" x14ac:dyDescent="0.4">
      <c r="A103" t="s">
        <v>208</v>
      </c>
      <c r="B103" s="4" t="s">
        <v>12</v>
      </c>
      <c r="C103" s="1"/>
      <c r="D103" s="13">
        <f>VALUE(_xlfn.TEXTBEFORE(UNIDADES[[#This Row],[UNIDADE]]," "))</f>
        <v>105</v>
      </c>
      <c r="E103" s="13" t="s">
        <v>362</v>
      </c>
      <c r="F103" s="4" t="s">
        <v>208</v>
      </c>
      <c r="G103" s="4" t="s">
        <v>373</v>
      </c>
      <c r="H103" s="4">
        <v>1</v>
      </c>
      <c r="I103" s="4">
        <v>1</v>
      </c>
      <c r="J103" s="13">
        <f>UNIDADES[[#This Row],[SUITES]]+UNIDADES[[#This Row],[QUARTOS]]</f>
        <v>2</v>
      </c>
      <c r="K103" s="4" t="s">
        <v>189</v>
      </c>
      <c r="L103" s="4" t="s">
        <v>3</v>
      </c>
      <c r="M103" s="4" t="s">
        <v>190</v>
      </c>
      <c r="N103" s="1">
        <v>53.910099189760402</v>
      </c>
      <c r="O103" s="1">
        <v>2.2649999999999602</v>
      </c>
      <c r="P103" s="1">
        <v>23.2800008091872</v>
      </c>
      <c r="Q103" s="15">
        <f>UNIDADES[[#This Row],[AREA PADRAO]]+UNIDADES[[#This Row],[AREA TERRACO]]*0.5</f>
        <v>65.550099594354009</v>
      </c>
      <c r="R103" s="1" t="s">
        <v>394</v>
      </c>
      <c r="S103" s="1"/>
    </row>
    <row r="104" spans="1:19" x14ac:dyDescent="0.4">
      <c r="A104" t="s">
        <v>209</v>
      </c>
      <c r="B104" s="4" t="s">
        <v>12</v>
      </c>
      <c r="C104" s="1"/>
      <c r="D104" s="13">
        <f>VALUE(_xlfn.TEXTBEFORE(UNIDADES[[#This Row],[UNIDADE]]," "))</f>
        <v>106</v>
      </c>
      <c r="E104" s="13" t="s">
        <v>362</v>
      </c>
      <c r="F104" s="4" t="s">
        <v>209</v>
      </c>
      <c r="G104" s="4" t="s">
        <v>375</v>
      </c>
      <c r="H104" s="4">
        <v>3</v>
      </c>
      <c r="I104" s="4">
        <v>0</v>
      </c>
      <c r="J104" s="13">
        <f>UNIDADES[[#This Row],[SUITES]]+UNIDADES[[#This Row],[QUARTOS]]</f>
        <v>3</v>
      </c>
      <c r="L104" s="4" t="s">
        <v>3</v>
      </c>
      <c r="M104" s="4" t="s">
        <v>190</v>
      </c>
      <c r="N104" s="1">
        <v>73.769100000000293</v>
      </c>
      <c r="O104" s="1">
        <v>6.5043000000006597</v>
      </c>
      <c r="P104" s="1">
        <v>34.416399999999499</v>
      </c>
      <c r="Q104" s="15">
        <f>UNIDADES[[#This Row],[AREA PADRAO]]+UNIDADES[[#This Row],[AREA TERRACO]]*0.5</f>
        <v>90.977300000000042</v>
      </c>
      <c r="R104" s="1" t="s">
        <v>394</v>
      </c>
      <c r="S104" s="1"/>
    </row>
    <row r="105" spans="1:19" x14ac:dyDescent="0.4">
      <c r="A105" t="s">
        <v>221</v>
      </c>
      <c r="B105" s="4" t="s">
        <v>20</v>
      </c>
      <c r="C105" s="1"/>
      <c r="D105" s="13">
        <f>VALUE(_xlfn.TEXTBEFORE(UNIDADES[[#This Row],[UNIDADE]]," "))</f>
        <v>201</v>
      </c>
      <c r="E105" s="13" t="s">
        <v>362</v>
      </c>
      <c r="F105" s="4" t="s">
        <v>221</v>
      </c>
      <c r="G105" s="4" t="s">
        <v>365</v>
      </c>
      <c r="H105" s="4">
        <v>3</v>
      </c>
      <c r="I105" s="4">
        <v>0</v>
      </c>
      <c r="J105" s="13">
        <f>UNIDADES[[#This Row],[SUITES]]+UNIDADES[[#This Row],[QUARTOS]]</f>
        <v>3</v>
      </c>
      <c r="K105" s="4" t="s">
        <v>188</v>
      </c>
      <c r="L105" s="4" t="s">
        <v>3</v>
      </c>
      <c r="M105" s="4" t="s">
        <v>190</v>
      </c>
      <c r="N105" s="1">
        <v>107.332157496183</v>
      </c>
      <c r="O105" s="1">
        <v>4.0859289940827503</v>
      </c>
      <c r="P105" s="1">
        <v>0</v>
      </c>
      <c r="Q105" s="15">
        <f>UNIDADES[[#This Row],[AREA PADRAO]]+UNIDADES[[#This Row],[AREA TERRACO]]*0.5</f>
        <v>107.332157496183</v>
      </c>
      <c r="R105" s="1" t="s">
        <v>390</v>
      </c>
      <c r="S105" s="16" t="s">
        <v>396</v>
      </c>
    </row>
    <row r="106" spans="1:19" x14ac:dyDescent="0.4">
      <c r="A106" t="s">
        <v>220</v>
      </c>
      <c r="B106" s="4" t="s">
        <v>20</v>
      </c>
      <c r="C106" s="1"/>
      <c r="D106" s="13">
        <f>VALUE(_xlfn.TEXTBEFORE(UNIDADES[[#This Row],[UNIDADE]]," "))</f>
        <v>202</v>
      </c>
      <c r="E106" s="13" t="s">
        <v>362</v>
      </c>
      <c r="F106" s="4" t="s">
        <v>220</v>
      </c>
      <c r="G106" s="4" t="s">
        <v>367</v>
      </c>
      <c r="H106" s="4">
        <v>3</v>
      </c>
      <c r="I106" s="4">
        <v>0</v>
      </c>
      <c r="J106" s="13">
        <f>UNIDADES[[#This Row],[SUITES]]+UNIDADES[[#This Row],[QUARTOS]]</f>
        <v>3</v>
      </c>
      <c r="K106" s="4" t="s">
        <v>188</v>
      </c>
      <c r="L106" s="4" t="s">
        <v>1</v>
      </c>
      <c r="M106" s="4" t="s">
        <v>191</v>
      </c>
      <c r="N106" s="1">
        <v>107.332157496183</v>
      </c>
      <c r="O106" s="1">
        <v>4.0859289940826899</v>
      </c>
      <c r="P106" s="1">
        <v>0</v>
      </c>
      <c r="Q106" s="15">
        <f>UNIDADES[[#This Row],[AREA PADRAO]]+UNIDADES[[#This Row],[AREA TERRACO]]*0.5</f>
        <v>107.332157496183</v>
      </c>
      <c r="R106" s="1" t="s">
        <v>390</v>
      </c>
      <c r="S106" s="16" t="s">
        <v>396</v>
      </c>
    </row>
    <row r="107" spans="1:19" x14ac:dyDescent="0.4">
      <c r="A107" t="s">
        <v>237</v>
      </c>
      <c r="B107" s="4" t="s">
        <v>20</v>
      </c>
      <c r="C107" s="1"/>
      <c r="D107" s="13">
        <f>VALUE(_xlfn.TEXTBEFORE(UNIDADES[[#This Row],[UNIDADE]]," "))</f>
        <v>203</v>
      </c>
      <c r="E107" s="13" t="s">
        <v>362</v>
      </c>
      <c r="F107" s="4" t="s">
        <v>237</v>
      </c>
      <c r="G107" s="4" t="s">
        <v>369</v>
      </c>
      <c r="H107" s="4">
        <v>3</v>
      </c>
      <c r="I107" s="4">
        <v>0</v>
      </c>
      <c r="J107" s="13">
        <f>UNIDADES[[#This Row],[SUITES]]+UNIDADES[[#This Row],[QUARTOS]]</f>
        <v>3</v>
      </c>
      <c r="L107" s="4" t="s">
        <v>1</v>
      </c>
      <c r="M107" s="4" t="s">
        <v>191</v>
      </c>
      <c r="N107" s="1">
        <v>73.207900000000393</v>
      </c>
      <c r="O107" s="1">
        <v>2.0861999999999901</v>
      </c>
      <c r="P107" s="1">
        <v>0</v>
      </c>
      <c r="Q107" s="15">
        <f>UNIDADES[[#This Row],[AREA PADRAO]]+UNIDADES[[#This Row],[AREA TERRACO]]*0.5</f>
        <v>73.207900000000393</v>
      </c>
      <c r="R107" s="1" t="s">
        <v>392</v>
      </c>
      <c r="S107" s="16" t="s">
        <v>396</v>
      </c>
    </row>
    <row r="108" spans="1:19" x14ac:dyDescent="0.4">
      <c r="A108" t="s">
        <v>238</v>
      </c>
      <c r="B108" s="4" t="s">
        <v>20</v>
      </c>
      <c r="C108" s="1"/>
      <c r="D108" s="13">
        <f>VALUE(_xlfn.TEXTBEFORE(UNIDADES[[#This Row],[UNIDADE]]," "))</f>
        <v>204</v>
      </c>
      <c r="E108" s="13" t="s">
        <v>362</v>
      </c>
      <c r="F108" s="4" t="s">
        <v>238</v>
      </c>
      <c r="G108" s="4" t="s">
        <v>371</v>
      </c>
      <c r="H108" s="4">
        <v>3</v>
      </c>
      <c r="I108" s="4">
        <v>0</v>
      </c>
      <c r="J108" s="13">
        <f>UNIDADES[[#This Row],[SUITES]]+UNIDADES[[#This Row],[QUARTOS]]</f>
        <v>3</v>
      </c>
      <c r="K108" s="4" t="s">
        <v>189</v>
      </c>
      <c r="L108" s="4" t="s">
        <v>1</v>
      </c>
      <c r="M108" s="4" t="s">
        <v>191</v>
      </c>
      <c r="N108" s="1">
        <v>83.711328110599297</v>
      </c>
      <c r="O108" s="1">
        <v>4.4397760368663199</v>
      </c>
      <c r="P108" s="1">
        <v>0</v>
      </c>
      <c r="Q108" s="15">
        <f>UNIDADES[[#This Row],[AREA PADRAO]]+UNIDADES[[#This Row],[AREA TERRACO]]*0.5</f>
        <v>83.711328110599297</v>
      </c>
      <c r="R108" s="1" t="s">
        <v>392</v>
      </c>
      <c r="S108" s="16" t="s">
        <v>395</v>
      </c>
    </row>
    <row r="109" spans="1:19" x14ac:dyDescent="0.4">
      <c r="A109" t="s">
        <v>239</v>
      </c>
      <c r="B109" s="4" t="s">
        <v>20</v>
      </c>
      <c r="C109" s="1"/>
      <c r="D109" s="13">
        <f>VALUE(_xlfn.TEXTBEFORE(UNIDADES[[#This Row],[UNIDADE]]," "))</f>
        <v>205</v>
      </c>
      <c r="E109" s="13" t="s">
        <v>362</v>
      </c>
      <c r="F109" s="4" t="s">
        <v>239</v>
      </c>
      <c r="G109" s="4" t="s">
        <v>373</v>
      </c>
      <c r="H109" s="4">
        <v>1</v>
      </c>
      <c r="I109" s="4">
        <v>1</v>
      </c>
      <c r="J109" s="13">
        <f>UNIDADES[[#This Row],[SUITES]]+UNIDADES[[#This Row],[QUARTOS]]</f>
        <v>2</v>
      </c>
      <c r="K109" s="4" t="s">
        <v>189</v>
      </c>
      <c r="L109" s="4" t="s">
        <v>3</v>
      </c>
      <c r="M109" s="4" t="s">
        <v>190</v>
      </c>
      <c r="N109" s="1">
        <v>53.910100000003084</v>
      </c>
      <c r="O109" s="1">
        <v>2.26499999999985</v>
      </c>
      <c r="P109" s="1">
        <v>0</v>
      </c>
      <c r="Q109" s="15">
        <f>UNIDADES[[#This Row],[AREA PADRAO]]+UNIDADES[[#This Row],[AREA TERRACO]]*0.5</f>
        <v>53.910100000003084</v>
      </c>
      <c r="R109" s="1" t="s">
        <v>393</v>
      </c>
      <c r="S109" s="1"/>
    </row>
    <row r="110" spans="1:19" x14ac:dyDescent="0.4">
      <c r="A110" t="s">
        <v>240</v>
      </c>
      <c r="B110" s="4" t="s">
        <v>20</v>
      </c>
      <c r="C110" s="1"/>
      <c r="D110" s="13">
        <f>VALUE(_xlfn.TEXTBEFORE(UNIDADES[[#This Row],[UNIDADE]]," "))</f>
        <v>206</v>
      </c>
      <c r="E110" s="13" t="s">
        <v>362</v>
      </c>
      <c r="F110" s="4" t="s">
        <v>240</v>
      </c>
      <c r="G110" s="4" t="s">
        <v>375</v>
      </c>
      <c r="H110" s="4">
        <v>3</v>
      </c>
      <c r="I110" s="4">
        <v>0</v>
      </c>
      <c r="J110" s="13">
        <f>UNIDADES[[#This Row],[SUITES]]+UNIDADES[[#This Row],[QUARTOS]]</f>
        <v>3</v>
      </c>
      <c r="L110" s="4" t="s">
        <v>3</v>
      </c>
      <c r="M110" s="4" t="s">
        <v>190</v>
      </c>
      <c r="N110" s="1">
        <v>74.148600001545901</v>
      </c>
      <c r="O110" s="1">
        <v>5.4337000000000302</v>
      </c>
      <c r="P110" s="1">
        <v>0</v>
      </c>
      <c r="Q110" s="15">
        <f>UNIDADES[[#This Row],[AREA PADRAO]]+UNIDADES[[#This Row],[AREA TERRACO]]*0.5</f>
        <v>74.148600001545901</v>
      </c>
      <c r="R110" s="1" t="s">
        <v>392</v>
      </c>
      <c r="S110" s="16" t="s">
        <v>396</v>
      </c>
    </row>
    <row r="111" spans="1:19" x14ac:dyDescent="0.4">
      <c r="A111" t="s">
        <v>241</v>
      </c>
      <c r="B111" s="4" t="s">
        <v>30</v>
      </c>
      <c r="C111" s="1"/>
      <c r="D111" s="13">
        <f>VALUE(_xlfn.TEXTBEFORE(UNIDADES[[#This Row],[UNIDADE]]," "))</f>
        <v>301</v>
      </c>
      <c r="E111" s="13" t="s">
        <v>362</v>
      </c>
      <c r="F111" s="4" t="s">
        <v>241</v>
      </c>
      <c r="G111" s="4" t="s">
        <v>365</v>
      </c>
      <c r="H111" s="4">
        <v>3</v>
      </c>
      <c r="I111" s="4">
        <v>0</v>
      </c>
      <c r="J111" s="13">
        <f>UNIDADES[[#This Row],[SUITES]]+UNIDADES[[#This Row],[QUARTOS]]</f>
        <v>3</v>
      </c>
      <c r="K111" s="4" t="s">
        <v>188</v>
      </c>
      <c r="L111" s="4" t="s">
        <v>3</v>
      </c>
      <c r="M111" s="4" t="s">
        <v>190</v>
      </c>
      <c r="N111" s="1">
        <v>107.136857496183</v>
      </c>
      <c r="O111" s="1">
        <v>3.5760000000004899</v>
      </c>
      <c r="P111" s="1">
        <v>0</v>
      </c>
      <c r="Q111" s="15">
        <f>UNIDADES[[#This Row],[AREA PADRAO]]+UNIDADES[[#This Row],[AREA TERRACO]]*0.5</f>
        <v>107.136857496183</v>
      </c>
      <c r="R111" s="1" t="s">
        <v>390</v>
      </c>
      <c r="S111" s="16" t="s">
        <v>396</v>
      </c>
    </row>
    <row r="112" spans="1:19" x14ac:dyDescent="0.4">
      <c r="A112" t="s">
        <v>242</v>
      </c>
      <c r="B112" s="4" t="s">
        <v>30</v>
      </c>
      <c r="C112" s="1"/>
      <c r="D112" s="13">
        <f>VALUE(_xlfn.TEXTBEFORE(UNIDADES[[#This Row],[UNIDADE]]," "))</f>
        <v>302</v>
      </c>
      <c r="E112" s="13" t="s">
        <v>362</v>
      </c>
      <c r="F112" s="4" t="s">
        <v>242</v>
      </c>
      <c r="G112" s="4" t="s">
        <v>367</v>
      </c>
      <c r="H112" s="4">
        <v>3</v>
      </c>
      <c r="I112" s="4">
        <v>0</v>
      </c>
      <c r="J112" s="13">
        <f>UNIDADES[[#This Row],[SUITES]]+UNIDADES[[#This Row],[QUARTOS]]</f>
        <v>3</v>
      </c>
      <c r="K112" s="4" t="s">
        <v>188</v>
      </c>
      <c r="L112" s="4" t="s">
        <v>1</v>
      </c>
      <c r="M112" s="4" t="s">
        <v>191</v>
      </c>
      <c r="N112" s="1">
        <v>106.830057496183</v>
      </c>
      <c r="O112" s="1">
        <v>2.6580000000000501</v>
      </c>
      <c r="P112" s="1">
        <v>0</v>
      </c>
      <c r="Q112" s="15">
        <f>UNIDADES[[#This Row],[AREA PADRAO]]+UNIDADES[[#This Row],[AREA TERRACO]]*0.5</f>
        <v>106.830057496183</v>
      </c>
      <c r="R112" s="1" t="s">
        <v>390</v>
      </c>
      <c r="S112" s="16" t="s">
        <v>396</v>
      </c>
    </row>
    <row r="113" spans="1:19" x14ac:dyDescent="0.4">
      <c r="A113" t="s">
        <v>243</v>
      </c>
      <c r="B113" s="4" t="s">
        <v>30</v>
      </c>
      <c r="C113" s="1"/>
      <c r="D113" s="13">
        <f>VALUE(_xlfn.TEXTBEFORE(UNIDADES[[#This Row],[UNIDADE]]," "))</f>
        <v>303</v>
      </c>
      <c r="E113" s="13" t="s">
        <v>362</v>
      </c>
      <c r="F113" s="4" t="s">
        <v>243</v>
      </c>
      <c r="G113" s="4" t="s">
        <v>369</v>
      </c>
      <c r="H113" s="4">
        <v>3</v>
      </c>
      <c r="I113" s="4">
        <v>0</v>
      </c>
      <c r="J113" s="13">
        <f>UNIDADES[[#This Row],[SUITES]]+UNIDADES[[#This Row],[QUARTOS]]</f>
        <v>3</v>
      </c>
      <c r="L113" s="4" t="s">
        <v>1</v>
      </c>
      <c r="M113" s="4" t="s">
        <v>191</v>
      </c>
      <c r="N113" s="1">
        <v>73.431622938558206</v>
      </c>
      <c r="O113" s="1">
        <v>3.6090010382915398</v>
      </c>
      <c r="P113" s="1">
        <v>0</v>
      </c>
      <c r="Q113" s="15">
        <f>UNIDADES[[#This Row],[AREA PADRAO]]+UNIDADES[[#This Row],[AREA TERRACO]]*0.5</f>
        <v>73.431622938558206</v>
      </c>
      <c r="R113" s="1" t="s">
        <v>392</v>
      </c>
      <c r="S113" s="16" t="s">
        <v>396</v>
      </c>
    </row>
    <row r="114" spans="1:19" x14ac:dyDescent="0.4">
      <c r="A114" t="s">
        <v>244</v>
      </c>
      <c r="B114" s="4" t="s">
        <v>30</v>
      </c>
      <c r="C114" s="1"/>
      <c r="D114" s="13">
        <f>VALUE(_xlfn.TEXTBEFORE(UNIDADES[[#This Row],[UNIDADE]]," "))</f>
        <v>304</v>
      </c>
      <c r="E114" s="13" t="s">
        <v>362</v>
      </c>
      <c r="F114" s="4" t="s">
        <v>244</v>
      </c>
      <c r="G114" s="4" t="s">
        <v>371</v>
      </c>
      <c r="H114" s="4">
        <v>3</v>
      </c>
      <c r="I114" s="4">
        <v>0</v>
      </c>
      <c r="J114" s="13">
        <f>UNIDADES[[#This Row],[SUITES]]+UNIDADES[[#This Row],[QUARTOS]]</f>
        <v>3</v>
      </c>
      <c r="K114" s="4" t="s">
        <v>189</v>
      </c>
      <c r="L114" s="4" t="s">
        <v>1</v>
      </c>
      <c r="M114" s="4" t="s">
        <v>191</v>
      </c>
      <c r="N114" s="1">
        <v>83.928650000000104</v>
      </c>
      <c r="O114" s="1">
        <v>4.013849999999815</v>
      </c>
      <c r="P114" s="1">
        <v>0</v>
      </c>
      <c r="Q114" s="15">
        <f>UNIDADES[[#This Row],[AREA PADRAO]]+UNIDADES[[#This Row],[AREA TERRACO]]*0.5</f>
        <v>83.928650000000104</v>
      </c>
      <c r="R114" s="1" t="s">
        <v>392</v>
      </c>
      <c r="S114" s="16" t="s">
        <v>395</v>
      </c>
    </row>
    <row r="115" spans="1:19" x14ac:dyDescent="0.4">
      <c r="A115" t="s">
        <v>253</v>
      </c>
      <c r="B115" s="4" t="s">
        <v>30</v>
      </c>
      <c r="C115" s="1"/>
      <c r="D115" s="13">
        <f>VALUE(_xlfn.TEXTBEFORE(UNIDADES[[#This Row],[UNIDADE]]," "))</f>
        <v>305</v>
      </c>
      <c r="E115" s="13" t="s">
        <v>362</v>
      </c>
      <c r="F115" s="4" t="s">
        <v>253</v>
      </c>
      <c r="G115" s="4" t="s">
        <v>373</v>
      </c>
      <c r="H115" s="4">
        <v>1</v>
      </c>
      <c r="I115" s="4">
        <v>1</v>
      </c>
      <c r="J115" s="13">
        <f>UNIDADES[[#This Row],[SUITES]]+UNIDADES[[#This Row],[QUARTOS]]</f>
        <v>2</v>
      </c>
      <c r="K115" s="4" t="s">
        <v>189</v>
      </c>
      <c r="L115" s="4" t="s">
        <v>3</v>
      </c>
      <c r="M115" s="4" t="s">
        <v>190</v>
      </c>
      <c r="N115" s="1">
        <v>50.736100000002203</v>
      </c>
      <c r="O115" s="1">
        <v>5.4390000000001706</v>
      </c>
      <c r="P115" s="1">
        <v>0</v>
      </c>
      <c r="Q115" s="15">
        <f>UNIDADES[[#This Row],[AREA PADRAO]]+UNIDADES[[#This Row],[AREA TERRACO]]*0.5</f>
        <v>50.736100000002203</v>
      </c>
      <c r="R115" s="1" t="s">
        <v>393</v>
      </c>
      <c r="S115" s="1"/>
    </row>
    <row r="116" spans="1:19" x14ac:dyDescent="0.4">
      <c r="A116" t="s">
        <v>254</v>
      </c>
      <c r="B116" s="4" t="s">
        <v>30</v>
      </c>
      <c r="C116" s="1"/>
      <c r="D116" s="13">
        <f>VALUE(_xlfn.TEXTBEFORE(UNIDADES[[#This Row],[UNIDADE]]," "))</f>
        <v>306</v>
      </c>
      <c r="E116" s="13" t="s">
        <v>362</v>
      </c>
      <c r="F116" s="4" t="s">
        <v>254</v>
      </c>
      <c r="G116" s="4" t="s">
        <v>375</v>
      </c>
      <c r="H116" s="4">
        <v>3</v>
      </c>
      <c r="I116" s="4">
        <v>0</v>
      </c>
      <c r="J116" s="13">
        <f>UNIDADES[[#This Row],[SUITES]]+UNIDADES[[#This Row],[QUARTOS]]</f>
        <v>3</v>
      </c>
      <c r="L116" s="4" t="s">
        <v>3</v>
      </c>
      <c r="M116" s="4" t="s">
        <v>190</v>
      </c>
      <c r="N116" s="1">
        <v>73.377825001545801</v>
      </c>
      <c r="O116" s="1">
        <v>5.9895899831648096</v>
      </c>
      <c r="P116" s="1">
        <v>0</v>
      </c>
      <c r="Q116" s="15">
        <f>UNIDADES[[#This Row],[AREA PADRAO]]+UNIDADES[[#This Row],[AREA TERRACO]]*0.5</f>
        <v>73.377825001545801</v>
      </c>
      <c r="R116" s="1" t="s">
        <v>392</v>
      </c>
      <c r="S116" s="16" t="s">
        <v>396</v>
      </c>
    </row>
    <row r="117" spans="1:19" x14ac:dyDescent="0.4">
      <c r="A117" t="s">
        <v>255</v>
      </c>
      <c r="B117" s="4" t="s">
        <v>40</v>
      </c>
      <c r="C117" s="1"/>
      <c r="D117" s="13">
        <f>VALUE(_xlfn.TEXTBEFORE(UNIDADES[[#This Row],[UNIDADE]]," "))</f>
        <v>401</v>
      </c>
      <c r="E117" s="13" t="s">
        <v>362</v>
      </c>
      <c r="F117" s="4" t="s">
        <v>221</v>
      </c>
      <c r="G117" s="4" t="s">
        <v>365</v>
      </c>
      <c r="H117" s="4">
        <v>3</v>
      </c>
      <c r="I117" s="4">
        <v>0</v>
      </c>
      <c r="J117" s="13">
        <f>UNIDADES[[#This Row],[SUITES]]+UNIDADES[[#This Row],[QUARTOS]]</f>
        <v>3</v>
      </c>
      <c r="K117" s="4" t="s">
        <v>188</v>
      </c>
      <c r="L117" s="4" t="s">
        <v>3</v>
      </c>
      <c r="M117" s="4" t="s">
        <v>190</v>
      </c>
      <c r="N117" s="1">
        <v>107.332157496183</v>
      </c>
      <c r="O117" s="1">
        <v>4.0859289940827503</v>
      </c>
      <c r="P117" s="1">
        <v>0</v>
      </c>
      <c r="Q117" s="15">
        <f>UNIDADES[[#This Row],[AREA PADRAO]]+UNIDADES[[#This Row],[AREA TERRACO]]*0.5</f>
        <v>107.332157496183</v>
      </c>
      <c r="R117" s="1" t="s">
        <v>390</v>
      </c>
      <c r="S117" s="16" t="s">
        <v>396</v>
      </c>
    </row>
    <row r="118" spans="1:19" x14ac:dyDescent="0.4">
      <c r="A118" t="s">
        <v>256</v>
      </c>
      <c r="B118" s="4" t="s">
        <v>40</v>
      </c>
      <c r="C118" s="1"/>
      <c r="D118" s="13">
        <f>VALUE(_xlfn.TEXTBEFORE(UNIDADES[[#This Row],[UNIDADE]]," "))</f>
        <v>402</v>
      </c>
      <c r="E118" s="13" t="s">
        <v>362</v>
      </c>
      <c r="F118" s="4" t="s">
        <v>220</v>
      </c>
      <c r="G118" s="4" t="s">
        <v>367</v>
      </c>
      <c r="H118" s="4">
        <v>3</v>
      </c>
      <c r="I118" s="4">
        <v>0</v>
      </c>
      <c r="J118" s="13">
        <f>UNIDADES[[#This Row],[SUITES]]+UNIDADES[[#This Row],[QUARTOS]]</f>
        <v>3</v>
      </c>
      <c r="K118" s="4" t="s">
        <v>188</v>
      </c>
      <c r="L118" s="4" t="s">
        <v>1</v>
      </c>
      <c r="M118" s="4" t="s">
        <v>191</v>
      </c>
      <c r="N118" s="1">
        <v>107.332157496183</v>
      </c>
      <c r="O118" s="1">
        <v>4.0859289940826899</v>
      </c>
      <c r="P118" s="1">
        <v>0</v>
      </c>
      <c r="Q118" s="15">
        <f>UNIDADES[[#This Row],[AREA PADRAO]]+UNIDADES[[#This Row],[AREA TERRACO]]*0.5</f>
        <v>107.332157496183</v>
      </c>
      <c r="R118" s="1" t="s">
        <v>390</v>
      </c>
      <c r="S118" s="16" t="s">
        <v>396</v>
      </c>
    </row>
    <row r="119" spans="1:19" x14ac:dyDescent="0.4">
      <c r="A119" t="s">
        <v>257</v>
      </c>
      <c r="B119" s="4" t="s">
        <v>40</v>
      </c>
      <c r="C119" s="1"/>
      <c r="D119" s="13">
        <f>VALUE(_xlfn.TEXTBEFORE(UNIDADES[[#This Row],[UNIDADE]]," "))</f>
        <v>403</v>
      </c>
      <c r="E119" s="13" t="s">
        <v>362</v>
      </c>
      <c r="F119" s="4" t="s">
        <v>237</v>
      </c>
      <c r="G119" s="4" t="s">
        <v>369</v>
      </c>
      <c r="H119" s="4">
        <v>3</v>
      </c>
      <c r="I119" s="4">
        <v>0</v>
      </c>
      <c r="J119" s="13">
        <f>UNIDADES[[#This Row],[SUITES]]+UNIDADES[[#This Row],[QUARTOS]]</f>
        <v>3</v>
      </c>
      <c r="L119" s="4" t="s">
        <v>1</v>
      </c>
      <c r="M119" s="4" t="s">
        <v>191</v>
      </c>
      <c r="N119" s="1">
        <v>73.207900000000393</v>
      </c>
      <c r="O119" s="1">
        <v>2.0861999999999901</v>
      </c>
      <c r="P119" s="1">
        <v>0</v>
      </c>
      <c r="Q119" s="15">
        <f>UNIDADES[[#This Row],[AREA PADRAO]]+UNIDADES[[#This Row],[AREA TERRACO]]*0.5</f>
        <v>73.207900000000393</v>
      </c>
      <c r="R119" s="1" t="s">
        <v>392</v>
      </c>
      <c r="S119" s="16" t="s">
        <v>396</v>
      </c>
    </row>
    <row r="120" spans="1:19" x14ac:dyDescent="0.4">
      <c r="A120" t="s">
        <v>258</v>
      </c>
      <c r="B120" s="4" t="s">
        <v>40</v>
      </c>
      <c r="C120" s="1"/>
      <c r="D120" s="13">
        <f>VALUE(_xlfn.TEXTBEFORE(UNIDADES[[#This Row],[UNIDADE]]," "))</f>
        <v>404</v>
      </c>
      <c r="E120" s="13" t="s">
        <v>362</v>
      </c>
      <c r="F120" s="4" t="s">
        <v>238</v>
      </c>
      <c r="G120" s="4" t="s">
        <v>371</v>
      </c>
      <c r="H120" s="4">
        <v>3</v>
      </c>
      <c r="I120" s="4">
        <v>0</v>
      </c>
      <c r="J120" s="13">
        <f>UNIDADES[[#This Row],[SUITES]]+UNIDADES[[#This Row],[QUARTOS]]</f>
        <v>3</v>
      </c>
      <c r="K120" s="4" t="s">
        <v>189</v>
      </c>
      <c r="L120" s="4" t="s">
        <v>1</v>
      </c>
      <c r="M120" s="4" t="s">
        <v>191</v>
      </c>
      <c r="N120" s="1">
        <v>83.711328110599297</v>
      </c>
      <c r="O120" s="1">
        <v>4.4397760368663199</v>
      </c>
      <c r="P120" s="1">
        <v>0</v>
      </c>
      <c r="Q120" s="15">
        <f>UNIDADES[[#This Row],[AREA PADRAO]]+UNIDADES[[#This Row],[AREA TERRACO]]*0.5</f>
        <v>83.711328110599297</v>
      </c>
      <c r="R120" s="1" t="s">
        <v>392</v>
      </c>
      <c r="S120" s="16" t="s">
        <v>395</v>
      </c>
    </row>
    <row r="121" spans="1:19" x14ac:dyDescent="0.4">
      <c r="A121" t="s">
        <v>259</v>
      </c>
      <c r="B121" s="4" t="s">
        <v>40</v>
      </c>
      <c r="C121" s="1"/>
      <c r="D121" s="13">
        <f>VALUE(_xlfn.TEXTBEFORE(UNIDADES[[#This Row],[UNIDADE]]," "))</f>
        <v>405</v>
      </c>
      <c r="E121" s="13" t="s">
        <v>362</v>
      </c>
      <c r="F121" s="4" t="s">
        <v>239</v>
      </c>
      <c r="G121" s="4" t="s">
        <v>373</v>
      </c>
      <c r="H121" s="4">
        <v>1</v>
      </c>
      <c r="I121" s="4">
        <v>1</v>
      </c>
      <c r="J121" s="13">
        <f>UNIDADES[[#This Row],[SUITES]]+UNIDADES[[#This Row],[QUARTOS]]</f>
        <v>2</v>
      </c>
      <c r="K121" s="4" t="s">
        <v>189</v>
      </c>
      <c r="L121" s="4" t="s">
        <v>3</v>
      </c>
      <c r="M121" s="4" t="s">
        <v>190</v>
      </c>
      <c r="N121" s="1">
        <v>53.910100000003084</v>
      </c>
      <c r="O121" s="1">
        <v>2.26499999999985</v>
      </c>
      <c r="P121" s="1">
        <v>0</v>
      </c>
      <c r="Q121" s="15">
        <f>UNIDADES[[#This Row],[AREA PADRAO]]+UNIDADES[[#This Row],[AREA TERRACO]]*0.5</f>
        <v>53.910100000003084</v>
      </c>
      <c r="R121" s="1" t="s">
        <v>393</v>
      </c>
      <c r="S121" s="1"/>
    </row>
    <row r="122" spans="1:19" x14ac:dyDescent="0.4">
      <c r="A122" t="s">
        <v>260</v>
      </c>
      <c r="B122" s="4" t="s">
        <v>40</v>
      </c>
      <c r="C122" s="1"/>
      <c r="D122" s="13">
        <f>VALUE(_xlfn.TEXTBEFORE(UNIDADES[[#This Row],[UNIDADE]]," "))</f>
        <v>406</v>
      </c>
      <c r="E122" s="13" t="s">
        <v>362</v>
      </c>
      <c r="F122" s="4" t="s">
        <v>240</v>
      </c>
      <c r="G122" s="4" t="s">
        <v>375</v>
      </c>
      <c r="H122" s="4">
        <v>3</v>
      </c>
      <c r="I122" s="4">
        <v>0</v>
      </c>
      <c r="J122" s="13">
        <f>UNIDADES[[#This Row],[SUITES]]+UNIDADES[[#This Row],[QUARTOS]]</f>
        <v>3</v>
      </c>
      <c r="L122" s="4" t="s">
        <v>3</v>
      </c>
      <c r="M122" s="4" t="s">
        <v>190</v>
      </c>
      <c r="N122" s="1">
        <v>74.148600001545901</v>
      </c>
      <c r="O122" s="1">
        <v>5.4337000000000302</v>
      </c>
      <c r="P122" s="1">
        <v>0</v>
      </c>
      <c r="Q122" s="15">
        <f>UNIDADES[[#This Row],[AREA PADRAO]]+UNIDADES[[#This Row],[AREA TERRACO]]*0.5</f>
        <v>74.148600001545901</v>
      </c>
      <c r="R122" s="1" t="s">
        <v>392</v>
      </c>
      <c r="S122" s="16" t="s">
        <v>396</v>
      </c>
    </row>
    <row r="123" spans="1:19" x14ac:dyDescent="0.4">
      <c r="A123" t="s">
        <v>261</v>
      </c>
      <c r="B123" s="4" t="s">
        <v>50</v>
      </c>
      <c r="C123" s="1"/>
      <c r="D123" s="13">
        <f>VALUE(_xlfn.TEXTBEFORE(UNIDADES[[#This Row],[UNIDADE]]," "))</f>
        <v>501</v>
      </c>
      <c r="E123" s="13" t="s">
        <v>362</v>
      </c>
      <c r="F123" s="4" t="s">
        <v>241</v>
      </c>
      <c r="G123" s="4" t="s">
        <v>365</v>
      </c>
      <c r="H123" s="4">
        <v>3</v>
      </c>
      <c r="I123" s="4">
        <v>0</v>
      </c>
      <c r="J123" s="13">
        <f>UNIDADES[[#This Row],[SUITES]]+UNIDADES[[#This Row],[QUARTOS]]</f>
        <v>3</v>
      </c>
      <c r="K123" s="4" t="s">
        <v>188</v>
      </c>
      <c r="L123" s="4" t="s">
        <v>3</v>
      </c>
      <c r="M123" s="4" t="s">
        <v>190</v>
      </c>
      <c r="N123" s="1">
        <v>107.136857496183</v>
      </c>
      <c r="O123" s="1">
        <v>3.5760000000004899</v>
      </c>
      <c r="P123" s="1">
        <v>0</v>
      </c>
      <c r="Q123" s="15">
        <f>UNIDADES[[#This Row],[AREA PADRAO]]+UNIDADES[[#This Row],[AREA TERRACO]]*0.5</f>
        <v>107.136857496183</v>
      </c>
      <c r="R123" s="1" t="s">
        <v>390</v>
      </c>
      <c r="S123" s="16" t="s">
        <v>396</v>
      </c>
    </row>
    <row r="124" spans="1:19" x14ac:dyDescent="0.4">
      <c r="A124" t="s">
        <v>262</v>
      </c>
      <c r="B124" s="4" t="s">
        <v>50</v>
      </c>
      <c r="C124" s="1"/>
      <c r="D124" s="13">
        <f>VALUE(_xlfn.TEXTBEFORE(UNIDADES[[#This Row],[UNIDADE]]," "))</f>
        <v>502</v>
      </c>
      <c r="E124" s="13" t="s">
        <v>362</v>
      </c>
      <c r="F124" s="4" t="s">
        <v>242</v>
      </c>
      <c r="G124" s="4" t="s">
        <v>367</v>
      </c>
      <c r="H124" s="4">
        <v>3</v>
      </c>
      <c r="I124" s="4">
        <v>0</v>
      </c>
      <c r="J124" s="13">
        <f>UNIDADES[[#This Row],[SUITES]]+UNIDADES[[#This Row],[QUARTOS]]</f>
        <v>3</v>
      </c>
      <c r="K124" s="4" t="s">
        <v>188</v>
      </c>
      <c r="L124" s="4" t="s">
        <v>1</v>
      </c>
      <c r="M124" s="4" t="s">
        <v>191</v>
      </c>
      <c r="N124" s="1">
        <v>106.830057496183</v>
      </c>
      <c r="O124" s="1">
        <v>2.6580000000000501</v>
      </c>
      <c r="P124" s="1">
        <v>0</v>
      </c>
      <c r="Q124" s="15">
        <f>UNIDADES[[#This Row],[AREA PADRAO]]+UNIDADES[[#This Row],[AREA TERRACO]]*0.5</f>
        <v>106.830057496183</v>
      </c>
      <c r="R124" s="1" t="s">
        <v>390</v>
      </c>
      <c r="S124" s="16" t="s">
        <v>396</v>
      </c>
    </row>
    <row r="125" spans="1:19" x14ac:dyDescent="0.4">
      <c r="A125" t="s">
        <v>263</v>
      </c>
      <c r="B125" s="4" t="s">
        <v>50</v>
      </c>
      <c r="C125" s="1"/>
      <c r="D125" s="13">
        <f>VALUE(_xlfn.TEXTBEFORE(UNIDADES[[#This Row],[UNIDADE]]," "))</f>
        <v>503</v>
      </c>
      <c r="E125" s="13" t="s">
        <v>362</v>
      </c>
      <c r="F125" s="4" t="s">
        <v>243</v>
      </c>
      <c r="G125" s="4" t="s">
        <v>369</v>
      </c>
      <c r="H125" s="4">
        <v>3</v>
      </c>
      <c r="I125" s="4">
        <v>0</v>
      </c>
      <c r="J125" s="13">
        <f>UNIDADES[[#This Row],[SUITES]]+UNIDADES[[#This Row],[QUARTOS]]</f>
        <v>3</v>
      </c>
      <c r="L125" s="4" t="s">
        <v>1</v>
      </c>
      <c r="M125" s="4" t="s">
        <v>191</v>
      </c>
      <c r="N125" s="1">
        <v>73.431622938558206</v>
      </c>
      <c r="O125" s="1">
        <v>3.6090010382915398</v>
      </c>
      <c r="P125" s="1">
        <v>0</v>
      </c>
      <c r="Q125" s="15">
        <f>UNIDADES[[#This Row],[AREA PADRAO]]+UNIDADES[[#This Row],[AREA TERRACO]]*0.5</f>
        <v>73.431622938558206</v>
      </c>
      <c r="R125" s="1" t="s">
        <v>392</v>
      </c>
      <c r="S125" s="16" t="s">
        <v>396</v>
      </c>
    </row>
    <row r="126" spans="1:19" x14ac:dyDescent="0.4">
      <c r="A126" t="s">
        <v>270</v>
      </c>
      <c r="B126" s="4" t="s">
        <v>50</v>
      </c>
      <c r="C126" s="1"/>
      <c r="D126" s="13">
        <f>VALUE(_xlfn.TEXTBEFORE(UNIDADES[[#This Row],[UNIDADE]]," "))</f>
        <v>504</v>
      </c>
      <c r="E126" s="13" t="s">
        <v>362</v>
      </c>
      <c r="F126" s="4" t="s">
        <v>244</v>
      </c>
      <c r="G126" s="4" t="s">
        <v>371</v>
      </c>
      <c r="H126" s="4">
        <v>3</v>
      </c>
      <c r="I126" s="4">
        <v>0</v>
      </c>
      <c r="J126" s="13">
        <f>UNIDADES[[#This Row],[SUITES]]+UNIDADES[[#This Row],[QUARTOS]]</f>
        <v>3</v>
      </c>
      <c r="K126" s="4" t="s">
        <v>189</v>
      </c>
      <c r="L126" s="4" t="s">
        <v>1</v>
      </c>
      <c r="M126" s="4" t="s">
        <v>191</v>
      </c>
      <c r="N126" s="1">
        <v>83.928650000000104</v>
      </c>
      <c r="O126" s="1">
        <v>4.013849999999815</v>
      </c>
      <c r="P126" s="1">
        <v>0</v>
      </c>
      <c r="Q126" s="15">
        <f>UNIDADES[[#This Row],[AREA PADRAO]]+UNIDADES[[#This Row],[AREA TERRACO]]*0.5</f>
        <v>83.928650000000104</v>
      </c>
      <c r="R126" s="1" t="s">
        <v>392</v>
      </c>
      <c r="S126" s="16" t="s">
        <v>395</v>
      </c>
    </row>
    <row r="127" spans="1:19" x14ac:dyDescent="0.4">
      <c r="A127" t="s">
        <v>271</v>
      </c>
      <c r="B127" s="4" t="s">
        <v>50</v>
      </c>
      <c r="C127" s="1"/>
      <c r="D127" s="13">
        <f>VALUE(_xlfn.TEXTBEFORE(UNIDADES[[#This Row],[UNIDADE]]," "))</f>
        <v>505</v>
      </c>
      <c r="E127" s="13" t="s">
        <v>362</v>
      </c>
      <c r="F127" s="4" t="s">
        <v>253</v>
      </c>
      <c r="G127" s="4" t="s">
        <v>373</v>
      </c>
      <c r="H127" s="4">
        <v>1</v>
      </c>
      <c r="I127" s="4">
        <v>1</v>
      </c>
      <c r="J127" s="13">
        <f>UNIDADES[[#This Row],[SUITES]]+UNIDADES[[#This Row],[QUARTOS]]</f>
        <v>2</v>
      </c>
      <c r="K127" s="4" t="s">
        <v>189</v>
      </c>
      <c r="L127" s="4" t="s">
        <v>3</v>
      </c>
      <c r="M127" s="4" t="s">
        <v>190</v>
      </c>
      <c r="N127" s="1">
        <v>50.736100000002203</v>
      </c>
      <c r="O127" s="1">
        <v>5.4390000000001706</v>
      </c>
      <c r="P127" s="1">
        <v>0</v>
      </c>
      <c r="Q127" s="15">
        <f>UNIDADES[[#This Row],[AREA PADRAO]]+UNIDADES[[#This Row],[AREA TERRACO]]*0.5</f>
        <v>50.736100000002203</v>
      </c>
      <c r="R127" s="1" t="s">
        <v>393</v>
      </c>
      <c r="S127" s="1"/>
    </row>
    <row r="128" spans="1:19" x14ac:dyDescent="0.4">
      <c r="A128" t="s">
        <v>272</v>
      </c>
      <c r="B128" s="4" t="s">
        <v>50</v>
      </c>
      <c r="C128" s="1"/>
      <c r="D128" s="13">
        <f>VALUE(_xlfn.TEXTBEFORE(UNIDADES[[#This Row],[UNIDADE]]," "))</f>
        <v>506</v>
      </c>
      <c r="E128" s="13" t="s">
        <v>362</v>
      </c>
      <c r="F128" s="4" t="s">
        <v>254</v>
      </c>
      <c r="G128" s="4" t="s">
        <v>375</v>
      </c>
      <c r="H128" s="4">
        <v>3</v>
      </c>
      <c r="I128" s="4">
        <v>0</v>
      </c>
      <c r="J128" s="13">
        <f>UNIDADES[[#This Row],[SUITES]]+UNIDADES[[#This Row],[QUARTOS]]</f>
        <v>3</v>
      </c>
      <c r="L128" s="4" t="s">
        <v>3</v>
      </c>
      <c r="M128" s="4" t="s">
        <v>190</v>
      </c>
      <c r="N128" s="1">
        <v>73.377825001545801</v>
      </c>
      <c r="O128" s="1">
        <v>5.9895899831648096</v>
      </c>
      <c r="P128" s="1">
        <v>0</v>
      </c>
      <c r="Q128" s="15">
        <f>UNIDADES[[#This Row],[AREA PADRAO]]+UNIDADES[[#This Row],[AREA TERRACO]]*0.5</f>
        <v>73.377825001545801</v>
      </c>
      <c r="R128" s="1" t="s">
        <v>392</v>
      </c>
      <c r="S128" s="16" t="s">
        <v>396</v>
      </c>
    </row>
    <row r="129" spans="1:19" x14ac:dyDescent="0.4">
      <c r="A129" t="s">
        <v>276</v>
      </c>
      <c r="B129" s="4" t="s">
        <v>60</v>
      </c>
      <c r="C129" s="1"/>
      <c r="D129" s="13">
        <f>VALUE(_xlfn.TEXTBEFORE(UNIDADES[[#This Row],[UNIDADE]]," "))</f>
        <v>601</v>
      </c>
      <c r="E129" s="13" t="s">
        <v>362</v>
      </c>
      <c r="F129" s="4" t="s">
        <v>221</v>
      </c>
      <c r="G129" s="4" t="s">
        <v>365</v>
      </c>
      <c r="H129" s="4">
        <v>3</v>
      </c>
      <c r="I129" s="4">
        <v>0</v>
      </c>
      <c r="J129" s="13">
        <f>UNIDADES[[#This Row],[SUITES]]+UNIDADES[[#This Row],[QUARTOS]]</f>
        <v>3</v>
      </c>
      <c r="K129" s="4" t="s">
        <v>188</v>
      </c>
      <c r="L129" s="4" t="s">
        <v>3</v>
      </c>
      <c r="M129" s="4" t="s">
        <v>190</v>
      </c>
      <c r="N129" s="1">
        <v>107.332157496183</v>
      </c>
      <c r="O129" s="1">
        <v>4.0859289940827503</v>
      </c>
      <c r="P129" s="1">
        <v>0</v>
      </c>
      <c r="Q129" s="15">
        <f>UNIDADES[[#This Row],[AREA PADRAO]]+UNIDADES[[#This Row],[AREA TERRACO]]*0.5</f>
        <v>107.332157496183</v>
      </c>
      <c r="R129" s="1" t="s">
        <v>390</v>
      </c>
      <c r="S129" s="16" t="s">
        <v>396</v>
      </c>
    </row>
    <row r="130" spans="1:19" x14ac:dyDescent="0.4">
      <c r="A130" t="s">
        <v>275</v>
      </c>
      <c r="B130" s="4" t="s">
        <v>60</v>
      </c>
      <c r="C130" s="1"/>
      <c r="D130" s="13">
        <f>VALUE(_xlfn.TEXTBEFORE(UNIDADES[[#This Row],[UNIDADE]]," "))</f>
        <v>602</v>
      </c>
      <c r="E130" s="13" t="s">
        <v>362</v>
      </c>
      <c r="F130" s="4" t="s">
        <v>220</v>
      </c>
      <c r="G130" s="4" t="s">
        <v>367</v>
      </c>
      <c r="H130" s="4">
        <v>3</v>
      </c>
      <c r="I130" s="4">
        <v>0</v>
      </c>
      <c r="J130" s="13">
        <f>UNIDADES[[#This Row],[SUITES]]+UNIDADES[[#This Row],[QUARTOS]]</f>
        <v>3</v>
      </c>
      <c r="K130" s="4" t="s">
        <v>188</v>
      </c>
      <c r="L130" s="4" t="s">
        <v>1</v>
      </c>
      <c r="M130" s="4" t="s">
        <v>191</v>
      </c>
      <c r="N130" s="1">
        <v>107.332157496183</v>
      </c>
      <c r="O130" s="1">
        <v>4.0859289940826899</v>
      </c>
      <c r="P130" s="1">
        <v>0</v>
      </c>
      <c r="Q130" s="15">
        <f>UNIDADES[[#This Row],[AREA PADRAO]]+UNIDADES[[#This Row],[AREA TERRACO]]*0.5</f>
        <v>107.332157496183</v>
      </c>
      <c r="R130" s="1" t="s">
        <v>390</v>
      </c>
      <c r="S130" s="16" t="s">
        <v>396</v>
      </c>
    </row>
    <row r="131" spans="1:19" x14ac:dyDescent="0.4">
      <c r="A131" t="s">
        <v>274</v>
      </c>
      <c r="B131" s="4" t="s">
        <v>60</v>
      </c>
      <c r="C131" s="1"/>
      <c r="D131" s="13">
        <f>VALUE(_xlfn.TEXTBEFORE(UNIDADES[[#This Row],[UNIDADE]]," "))</f>
        <v>603</v>
      </c>
      <c r="E131" s="13" t="s">
        <v>362</v>
      </c>
      <c r="F131" s="4" t="s">
        <v>237</v>
      </c>
      <c r="G131" s="4" t="s">
        <v>369</v>
      </c>
      <c r="H131" s="4">
        <v>3</v>
      </c>
      <c r="I131" s="4">
        <v>0</v>
      </c>
      <c r="J131" s="13">
        <f>UNIDADES[[#This Row],[SUITES]]+UNIDADES[[#This Row],[QUARTOS]]</f>
        <v>3</v>
      </c>
      <c r="L131" s="4" t="s">
        <v>1</v>
      </c>
      <c r="M131" s="4" t="s">
        <v>191</v>
      </c>
      <c r="N131" s="1">
        <v>73.207900000000393</v>
      </c>
      <c r="O131" s="1">
        <v>2.0861999999999901</v>
      </c>
      <c r="P131" s="1">
        <v>0</v>
      </c>
      <c r="Q131" s="15">
        <f>UNIDADES[[#This Row],[AREA PADRAO]]+UNIDADES[[#This Row],[AREA TERRACO]]*0.5</f>
        <v>73.207900000000393</v>
      </c>
      <c r="R131" s="1" t="s">
        <v>392</v>
      </c>
      <c r="S131" s="16" t="s">
        <v>396</v>
      </c>
    </row>
    <row r="132" spans="1:19" x14ac:dyDescent="0.4">
      <c r="A132" t="s">
        <v>273</v>
      </c>
      <c r="B132" s="4" t="s">
        <v>60</v>
      </c>
      <c r="C132" s="1"/>
      <c r="D132" s="13">
        <f>VALUE(_xlfn.TEXTBEFORE(UNIDADES[[#This Row],[UNIDADE]]," "))</f>
        <v>604</v>
      </c>
      <c r="E132" s="13" t="s">
        <v>362</v>
      </c>
      <c r="F132" s="4" t="s">
        <v>238</v>
      </c>
      <c r="G132" s="4" t="s">
        <v>371</v>
      </c>
      <c r="H132" s="4">
        <v>3</v>
      </c>
      <c r="I132" s="4">
        <v>0</v>
      </c>
      <c r="J132" s="13">
        <f>UNIDADES[[#This Row],[SUITES]]+UNIDADES[[#This Row],[QUARTOS]]</f>
        <v>3</v>
      </c>
      <c r="K132" s="4" t="s">
        <v>189</v>
      </c>
      <c r="L132" s="4" t="s">
        <v>1</v>
      </c>
      <c r="M132" s="4" t="s">
        <v>191</v>
      </c>
      <c r="N132" s="1">
        <v>83.711328110599297</v>
      </c>
      <c r="O132" s="1">
        <v>4.4397760368663199</v>
      </c>
      <c r="P132" s="1">
        <v>0</v>
      </c>
      <c r="Q132" s="15">
        <f>UNIDADES[[#This Row],[AREA PADRAO]]+UNIDADES[[#This Row],[AREA TERRACO]]*0.5</f>
        <v>83.711328110599297</v>
      </c>
      <c r="R132" s="1" t="s">
        <v>392</v>
      </c>
      <c r="S132" s="16" t="s">
        <v>395</v>
      </c>
    </row>
    <row r="133" spans="1:19" x14ac:dyDescent="0.4">
      <c r="A133" t="s">
        <v>251</v>
      </c>
      <c r="B133" s="4" t="s">
        <v>60</v>
      </c>
      <c r="C133" s="1"/>
      <c r="D133" s="13">
        <f>VALUE(_xlfn.TEXTBEFORE(UNIDADES[[#This Row],[UNIDADE]]," "))</f>
        <v>605</v>
      </c>
      <c r="E133" s="13" t="s">
        <v>362</v>
      </c>
      <c r="F133" s="4" t="s">
        <v>239</v>
      </c>
      <c r="G133" s="4" t="s">
        <v>373</v>
      </c>
      <c r="H133" s="4">
        <v>1</v>
      </c>
      <c r="I133" s="4">
        <v>1</v>
      </c>
      <c r="J133" s="13">
        <f>UNIDADES[[#This Row],[SUITES]]+UNIDADES[[#This Row],[QUARTOS]]</f>
        <v>2</v>
      </c>
      <c r="K133" s="4" t="s">
        <v>189</v>
      </c>
      <c r="L133" s="4" t="s">
        <v>3</v>
      </c>
      <c r="M133" s="4" t="s">
        <v>190</v>
      </c>
      <c r="N133" s="1">
        <v>53.910100000003084</v>
      </c>
      <c r="O133" s="1">
        <v>2.26499999999985</v>
      </c>
      <c r="P133" s="1">
        <v>0</v>
      </c>
      <c r="Q133" s="15">
        <f>UNIDADES[[#This Row],[AREA PADRAO]]+UNIDADES[[#This Row],[AREA TERRACO]]*0.5</f>
        <v>53.910100000003084</v>
      </c>
      <c r="R133" s="1" t="s">
        <v>393</v>
      </c>
      <c r="S133" s="1"/>
    </row>
    <row r="134" spans="1:19" x14ac:dyDescent="0.4">
      <c r="A134" t="s">
        <v>252</v>
      </c>
      <c r="B134" s="4" t="s">
        <v>60</v>
      </c>
      <c r="C134" s="1"/>
      <c r="D134" s="13">
        <f>VALUE(_xlfn.TEXTBEFORE(UNIDADES[[#This Row],[UNIDADE]]," "))</f>
        <v>606</v>
      </c>
      <c r="E134" s="13" t="s">
        <v>362</v>
      </c>
      <c r="F134" s="4" t="s">
        <v>240</v>
      </c>
      <c r="G134" s="4" t="s">
        <v>375</v>
      </c>
      <c r="H134" s="4">
        <v>3</v>
      </c>
      <c r="I134" s="4">
        <v>0</v>
      </c>
      <c r="J134" s="13">
        <f>UNIDADES[[#This Row],[SUITES]]+UNIDADES[[#This Row],[QUARTOS]]</f>
        <v>3</v>
      </c>
      <c r="L134" s="4" t="s">
        <v>3</v>
      </c>
      <c r="M134" s="4" t="s">
        <v>190</v>
      </c>
      <c r="N134" s="1">
        <v>74.148600001545901</v>
      </c>
      <c r="O134" s="1">
        <v>5.4337000000000302</v>
      </c>
      <c r="P134" s="1">
        <v>0</v>
      </c>
      <c r="Q134" s="15">
        <f>UNIDADES[[#This Row],[AREA PADRAO]]+UNIDADES[[#This Row],[AREA TERRACO]]*0.5</f>
        <v>74.148600001545901</v>
      </c>
      <c r="R134" s="1" t="s">
        <v>392</v>
      </c>
      <c r="S134" s="16" t="s">
        <v>396</v>
      </c>
    </row>
    <row r="135" spans="1:19" x14ac:dyDescent="0.4">
      <c r="A135" t="s">
        <v>285</v>
      </c>
      <c r="B135" s="4" t="s">
        <v>70</v>
      </c>
      <c r="C135" s="1"/>
      <c r="D135" s="13">
        <f>VALUE(_xlfn.TEXTBEFORE(UNIDADES[[#This Row],[UNIDADE]]," "))</f>
        <v>701</v>
      </c>
      <c r="E135" s="13" t="s">
        <v>362</v>
      </c>
      <c r="F135" s="4" t="s">
        <v>241</v>
      </c>
      <c r="G135" s="4" t="s">
        <v>365</v>
      </c>
      <c r="H135" s="4">
        <v>3</v>
      </c>
      <c r="I135" s="4">
        <v>0</v>
      </c>
      <c r="J135" s="13">
        <f>UNIDADES[[#This Row],[SUITES]]+UNIDADES[[#This Row],[QUARTOS]]</f>
        <v>3</v>
      </c>
      <c r="K135" s="4" t="s">
        <v>188</v>
      </c>
      <c r="L135" s="4" t="s">
        <v>3</v>
      </c>
      <c r="M135" s="4" t="s">
        <v>190</v>
      </c>
      <c r="N135" s="1">
        <v>107.136857496183</v>
      </c>
      <c r="O135" s="1">
        <v>3.5760000000004899</v>
      </c>
      <c r="P135" s="1">
        <v>0</v>
      </c>
      <c r="Q135" s="15">
        <f>UNIDADES[[#This Row],[AREA PADRAO]]+UNIDADES[[#This Row],[AREA TERRACO]]*0.5</f>
        <v>107.136857496183</v>
      </c>
      <c r="R135" s="1" t="s">
        <v>390</v>
      </c>
      <c r="S135" s="16" t="s">
        <v>396</v>
      </c>
    </row>
    <row r="136" spans="1:19" x14ac:dyDescent="0.4">
      <c r="A136" t="s">
        <v>265</v>
      </c>
      <c r="B136" s="4" t="s">
        <v>70</v>
      </c>
      <c r="C136" s="1"/>
      <c r="D136" s="13">
        <f>VALUE(_xlfn.TEXTBEFORE(UNIDADES[[#This Row],[UNIDADE]]," "))</f>
        <v>702</v>
      </c>
      <c r="E136" s="13" t="s">
        <v>362</v>
      </c>
      <c r="F136" s="4" t="s">
        <v>242</v>
      </c>
      <c r="G136" s="4" t="s">
        <v>367</v>
      </c>
      <c r="H136" s="4">
        <v>3</v>
      </c>
      <c r="I136" s="4">
        <v>0</v>
      </c>
      <c r="J136" s="13">
        <f>UNIDADES[[#This Row],[SUITES]]+UNIDADES[[#This Row],[QUARTOS]]</f>
        <v>3</v>
      </c>
      <c r="K136" s="4" t="s">
        <v>188</v>
      </c>
      <c r="L136" s="4" t="s">
        <v>1</v>
      </c>
      <c r="M136" s="4" t="s">
        <v>191</v>
      </c>
      <c r="N136" s="1">
        <v>106.830057496183</v>
      </c>
      <c r="O136" s="1">
        <v>2.6580000000000501</v>
      </c>
      <c r="P136" s="1">
        <v>0</v>
      </c>
      <c r="Q136" s="15">
        <f>UNIDADES[[#This Row],[AREA PADRAO]]+UNIDADES[[#This Row],[AREA TERRACO]]*0.5</f>
        <v>106.830057496183</v>
      </c>
      <c r="R136" s="1" t="s">
        <v>390</v>
      </c>
      <c r="S136" s="16" t="s">
        <v>396</v>
      </c>
    </row>
    <row r="137" spans="1:19" x14ac:dyDescent="0.4">
      <c r="A137" t="s">
        <v>266</v>
      </c>
      <c r="B137" s="4" t="s">
        <v>70</v>
      </c>
      <c r="C137" s="1"/>
      <c r="D137" s="13">
        <f>VALUE(_xlfn.TEXTBEFORE(UNIDADES[[#This Row],[UNIDADE]]," "))</f>
        <v>703</v>
      </c>
      <c r="E137" s="13" t="s">
        <v>362</v>
      </c>
      <c r="F137" s="4" t="s">
        <v>243</v>
      </c>
      <c r="G137" s="4" t="s">
        <v>369</v>
      </c>
      <c r="H137" s="4">
        <v>3</v>
      </c>
      <c r="I137" s="4">
        <v>0</v>
      </c>
      <c r="J137" s="13">
        <f>UNIDADES[[#This Row],[SUITES]]+UNIDADES[[#This Row],[QUARTOS]]</f>
        <v>3</v>
      </c>
      <c r="L137" s="4" t="s">
        <v>1</v>
      </c>
      <c r="M137" s="4" t="s">
        <v>191</v>
      </c>
      <c r="N137" s="1">
        <v>73.431622938558206</v>
      </c>
      <c r="O137" s="1">
        <v>3.6090010382915398</v>
      </c>
      <c r="P137" s="1">
        <v>0</v>
      </c>
      <c r="Q137" s="15">
        <f>UNIDADES[[#This Row],[AREA PADRAO]]+UNIDADES[[#This Row],[AREA TERRACO]]*0.5</f>
        <v>73.431622938558206</v>
      </c>
      <c r="R137" s="1" t="s">
        <v>392</v>
      </c>
      <c r="S137" s="16" t="s">
        <v>396</v>
      </c>
    </row>
    <row r="138" spans="1:19" x14ac:dyDescent="0.4">
      <c r="A138" t="s">
        <v>267</v>
      </c>
      <c r="B138" s="4" t="s">
        <v>70</v>
      </c>
      <c r="C138" s="1"/>
      <c r="D138" s="13">
        <f>VALUE(_xlfn.TEXTBEFORE(UNIDADES[[#This Row],[UNIDADE]]," "))</f>
        <v>704</v>
      </c>
      <c r="E138" s="13" t="s">
        <v>362</v>
      </c>
      <c r="F138" s="4" t="s">
        <v>244</v>
      </c>
      <c r="G138" s="4" t="s">
        <v>371</v>
      </c>
      <c r="H138" s="4">
        <v>3</v>
      </c>
      <c r="I138" s="4">
        <v>0</v>
      </c>
      <c r="J138" s="13">
        <f>UNIDADES[[#This Row],[SUITES]]+UNIDADES[[#This Row],[QUARTOS]]</f>
        <v>3</v>
      </c>
      <c r="K138" s="4" t="s">
        <v>189</v>
      </c>
      <c r="L138" s="4" t="s">
        <v>1</v>
      </c>
      <c r="M138" s="4" t="s">
        <v>191</v>
      </c>
      <c r="N138" s="1">
        <v>83.928650000000104</v>
      </c>
      <c r="O138" s="1">
        <v>4.013849999999815</v>
      </c>
      <c r="P138" s="1">
        <v>0</v>
      </c>
      <c r="Q138" s="15">
        <f>UNIDADES[[#This Row],[AREA PADRAO]]+UNIDADES[[#This Row],[AREA TERRACO]]*0.5</f>
        <v>83.928650000000104</v>
      </c>
      <c r="R138" s="1" t="s">
        <v>392</v>
      </c>
      <c r="S138" s="16" t="s">
        <v>395</v>
      </c>
    </row>
    <row r="139" spans="1:19" x14ac:dyDescent="0.4">
      <c r="A139" t="s">
        <v>268</v>
      </c>
      <c r="B139" s="4" t="s">
        <v>70</v>
      </c>
      <c r="C139" s="1"/>
      <c r="D139" s="13">
        <f>VALUE(_xlfn.TEXTBEFORE(UNIDADES[[#This Row],[UNIDADE]]," "))</f>
        <v>705</v>
      </c>
      <c r="E139" s="13" t="s">
        <v>362</v>
      </c>
      <c r="F139" s="4" t="s">
        <v>253</v>
      </c>
      <c r="G139" s="4" t="s">
        <v>373</v>
      </c>
      <c r="H139" s="4">
        <v>1</v>
      </c>
      <c r="I139" s="4">
        <v>1</v>
      </c>
      <c r="J139" s="13">
        <f>UNIDADES[[#This Row],[SUITES]]+UNIDADES[[#This Row],[QUARTOS]]</f>
        <v>2</v>
      </c>
      <c r="K139" s="4" t="s">
        <v>189</v>
      </c>
      <c r="L139" s="4" t="s">
        <v>3</v>
      </c>
      <c r="M139" s="4" t="s">
        <v>190</v>
      </c>
      <c r="N139" s="1">
        <v>50.736100000002203</v>
      </c>
      <c r="O139" s="1">
        <v>5.4390000000001706</v>
      </c>
      <c r="P139" s="1">
        <v>0</v>
      </c>
      <c r="Q139" s="15">
        <f>UNIDADES[[#This Row],[AREA PADRAO]]+UNIDADES[[#This Row],[AREA TERRACO]]*0.5</f>
        <v>50.736100000002203</v>
      </c>
      <c r="R139" s="1" t="s">
        <v>393</v>
      </c>
      <c r="S139" s="1"/>
    </row>
    <row r="140" spans="1:19" x14ac:dyDescent="0.4">
      <c r="A140" t="s">
        <v>269</v>
      </c>
      <c r="B140" s="4" t="s">
        <v>70</v>
      </c>
      <c r="C140" s="1"/>
      <c r="D140" s="13">
        <f>VALUE(_xlfn.TEXTBEFORE(UNIDADES[[#This Row],[UNIDADE]]," "))</f>
        <v>706</v>
      </c>
      <c r="E140" s="13" t="s">
        <v>362</v>
      </c>
      <c r="F140" s="4" t="s">
        <v>254</v>
      </c>
      <c r="G140" s="4" t="s">
        <v>375</v>
      </c>
      <c r="H140" s="4">
        <v>3</v>
      </c>
      <c r="I140" s="4">
        <v>0</v>
      </c>
      <c r="J140" s="13">
        <f>UNIDADES[[#This Row],[SUITES]]+UNIDADES[[#This Row],[QUARTOS]]</f>
        <v>3</v>
      </c>
      <c r="L140" s="4" t="s">
        <v>3</v>
      </c>
      <c r="M140" s="4" t="s">
        <v>190</v>
      </c>
      <c r="N140" s="1">
        <v>73.377825001545801</v>
      </c>
      <c r="O140" s="1">
        <v>5.9895899831648096</v>
      </c>
      <c r="P140" s="1">
        <v>0</v>
      </c>
      <c r="Q140" s="15">
        <f>UNIDADES[[#This Row],[AREA PADRAO]]+UNIDADES[[#This Row],[AREA TERRACO]]*0.5</f>
        <v>73.377825001545801</v>
      </c>
      <c r="R140" s="1" t="s">
        <v>392</v>
      </c>
      <c r="S140" s="16" t="s">
        <v>396</v>
      </c>
    </row>
    <row r="141" spans="1:19" x14ac:dyDescent="0.4">
      <c r="A141" t="s">
        <v>286</v>
      </c>
      <c r="B141" s="4" t="s">
        <v>80</v>
      </c>
      <c r="C141" s="1"/>
      <c r="D141" s="13">
        <f>VALUE(_xlfn.TEXTBEFORE(UNIDADES[[#This Row],[UNIDADE]]," "))</f>
        <v>801</v>
      </c>
      <c r="E141" s="13" t="s">
        <v>362</v>
      </c>
      <c r="F141" s="4" t="s">
        <v>221</v>
      </c>
      <c r="G141" s="4" t="s">
        <v>365</v>
      </c>
      <c r="H141" s="4">
        <v>3</v>
      </c>
      <c r="I141" s="4">
        <v>0</v>
      </c>
      <c r="J141" s="13">
        <f>UNIDADES[[#This Row],[SUITES]]+UNIDADES[[#This Row],[QUARTOS]]</f>
        <v>3</v>
      </c>
      <c r="K141" s="4" t="s">
        <v>188</v>
      </c>
      <c r="L141" s="4" t="s">
        <v>3</v>
      </c>
      <c r="M141" s="4" t="s">
        <v>190</v>
      </c>
      <c r="N141" s="1">
        <v>107.332157496183</v>
      </c>
      <c r="O141" s="1">
        <v>4.0859289940827503</v>
      </c>
      <c r="P141" s="1">
        <v>0</v>
      </c>
      <c r="Q141" s="15">
        <f>UNIDADES[[#This Row],[AREA PADRAO]]+UNIDADES[[#This Row],[AREA TERRACO]]*0.5</f>
        <v>107.332157496183</v>
      </c>
      <c r="R141" s="1" t="s">
        <v>390</v>
      </c>
      <c r="S141" s="16" t="s">
        <v>396</v>
      </c>
    </row>
    <row r="142" spans="1:19" x14ac:dyDescent="0.4">
      <c r="A142" t="s">
        <v>264</v>
      </c>
      <c r="B142" s="4" t="s">
        <v>80</v>
      </c>
      <c r="C142" s="1"/>
      <c r="D142" s="13">
        <f>VALUE(_xlfn.TEXTBEFORE(UNIDADES[[#This Row],[UNIDADE]]," "))</f>
        <v>802</v>
      </c>
      <c r="E142" s="13" t="s">
        <v>362</v>
      </c>
      <c r="F142" s="4" t="s">
        <v>220</v>
      </c>
      <c r="G142" s="4" t="s">
        <v>367</v>
      </c>
      <c r="H142" s="4">
        <v>3</v>
      </c>
      <c r="I142" s="4">
        <v>0</v>
      </c>
      <c r="J142" s="13">
        <f>UNIDADES[[#This Row],[SUITES]]+UNIDADES[[#This Row],[QUARTOS]]</f>
        <v>3</v>
      </c>
      <c r="K142" s="4" t="s">
        <v>188</v>
      </c>
      <c r="L142" s="4" t="s">
        <v>1</v>
      </c>
      <c r="M142" s="4" t="s">
        <v>191</v>
      </c>
      <c r="N142" s="1">
        <v>107.332157496183</v>
      </c>
      <c r="O142" s="1">
        <v>4.0859289940826899</v>
      </c>
      <c r="P142" s="1">
        <v>0</v>
      </c>
      <c r="Q142" s="15">
        <f>UNIDADES[[#This Row],[AREA PADRAO]]+UNIDADES[[#This Row],[AREA TERRACO]]*0.5</f>
        <v>107.332157496183</v>
      </c>
      <c r="R142" s="1" t="s">
        <v>390</v>
      </c>
      <c r="S142" s="16" t="s">
        <v>396</v>
      </c>
    </row>
    <row r="143" spans="1:19" x14ac:dyDescent="0.4">
      <c r="A143" t="s">
        <v>210</v>
      </c>
      <c r="B143" s="4" t="s">
        <v>80</v>
      </c>
      <c r="C143" s="1"/>
      <c r="D143" s="13">
        <f>VALUE(_xlfn.TEXTBEFORE(UNIDADES[[#This Row],[UNIDADE]]," "))</f>
        <v>803</v>
      </c>
      <c r="E143" s="13" t="s">
        <v>362</v>
      </c>
      <c r="F143" s="4" t="s">
        <v>237</v>
      </c>
      <c r="G143" s="4" t="s">
        <v>369</v>
      </c>
      <c r="H143" s="4">
        <v>3</v>
      </c>
      <c r="I143" s="4">
        <v>0</v>
      </c>
      <c r="J143" s="13">
        <f>UNIDADES[[#This Row],[SUITES]]+UNIDADES[[#This Row],[QUARTOS]]</f>
        <v>3</v>
      </c>
      <c r="L143" s="4" t="s">
        <v>1</v>
      </c>
      <c r="M143" s="4" t="s">
        <v>191</v>
      </c>
      <c r="N143" s="1">
        <v>73.207900000000393</v>
      </c>
      <c r="O143" s="1">
        <v>2.0861999999999901</v>
      </c>
      <c r="P143" s="1">
        <v>0</v>
      </c>
      <c r="Q143" s="15">
        <f>UNIDADES[[#This Row],[AREA PADRAO]]+UNIDADES[[#This Row],[AREA TERRACO]]*0.5</f>
        <v>73.207900000000393</v>
      </c>
      <c r="R143" s="1" t="s">
        <v>392</v>
      </c>
      <c r="S143" s="16" t="s">
        <v>396</v>
      </c>
    </row>
    <row r="144" spans="1:19" x14ac:dyDescent="0.4">
      <c r="A144" t="s">
        <v>211</v>
      </c>
      <c r="B144" s="4" t="s">
        <v>80</v>
      </c>
      <c r="C144" s="1"/>
      <c r="D144" s="13">
        <f>VALUE(_xlfn.TEXTBEFORE(UNIDADES[[#This Row],[UNIDADE]]," "))</f>
        <v>804</v>
      </c>
      <c r="E144" s="13" t="s">
        <v>362</v>
      </c>
      <c r="F144" s="4" t="s">
        <v>238</v>
      </c>
      <c r="G144" s="4" t="s">
        <v>371</v>
      </c>
      <c r="H144" s="4">
        <v>3</v>
      </c>
      <c r="I144" s="4">
        <v>0</v>
      </c>
      <c r="J144" s="13">
        <f>UNIDADES[[#This Row],[SUITES]]+UNIDADES[[#This Row],[QUARTOS]]</f>
        <v>3</v>
      </c>
      <c r="K144" s="4" t="s">
        <v>189</v>
      </c>
      <c r="L144" s="4" t="s">
        <v>1</v>
      </c>
      <c r="M144" s="4" t="s">
        <v>191</v>
      </c>
      <c r="N144" s="1">
        <v>83.711328110599297</v>
      </c>
      <c r="O144" s="1">
        <v>4.4397760368663199</v>
      </c>
      <c r="P144" s="1">
        <v>0</v>
      </c>
      <c r="Q144" s="15">
        <f>UNIDADES[[#This Row],[AREA PADRAO]]+UNIDADES[[#This Row],[AREA TERRACO]]*0.5</f>
        <v>83.711328110599297</v>
      </c>
      <c r="R144" s="1" t="s">
        <v>392</v>
      </c>
      <c r="S144" s="16" t="s">
        <v>395</v>
      </c>
    </row>
    <row r="145" spans="1:19" x14ac:dyDescent="0.4">
      <c r="A145" t="s">
        <v>212</v>
      </c>
      <c r="B145" s="4" t="s">
        <v>80</v>
      </c>
      <c r="C145" s="1"/>
      <c r="D145" s="13">
        <f>VALUE(_xlfn.TEXTBEFORE(UNIDADES[[#This Row],[UNIDADE]]," "))</f>
        <v>805</v>
      </c>
      <c r="E145" s="13" t="s">
        <v>362</v>
      </c>
      <c r="F145" s="4" t="s">
        <v>239</v>
      </c>
      <c r="G145" s="4" t="s">
        <v>373</v>
      </c>
      <c r="H145" s="4">
        <v>1</v>
      </c>
      <c r="I145" s="4">
        <v>1</v>
      </c>
      <c r="J145" s="13">
        <f>UNIDADES[[#This Row],[SUITES]]+UNIDADES[[#This Row],[QUARTOS]]</f>
        <v>2</v>
      </c>
      <c r="K145" s="4" t="s">
        <v>189</v>
      </c>
      <c r="L145" s="4" t="s">
        <v>3</v>
      </c>
      <c r="M145" s="4" t="s">
        <v>190</v>
      </c>
      <c r="N145" s="1">
        <v>53.910100000003084</v>
      </c>
      <c r="O145" s="1">
        <v>2.26499999999985</v>
      </c>
      <c r="P145" s="1">
        <v>0</v>
      </c>
      <c r="Q145" s="15">
        <f>UNIDADES[[#This Row],[AREA PADRAO]]+UNIDADES[[#This Row],[AREA TERRACO]]*0.5</f>
        <v>53.910100000003084</v>
      </c>
      <c r="R145" s="1" t="s">
        <v>393</v>
      </c>
      <c r="S145" s="1"/>
    </row>
    <row r="146" spans="1:19" x14ac:dyDescent="0.4">
      <c r="A146" t="s">
        <v>213</v>
      </c>
      <c r="B146" s="4" t="s">
        <v>80</v>
      </c>
      <c r="C146" s="1"/>
      <c r="D146" s="13">
        <f>VALUE(_xlfn.TEXTBEFORE(UNIDADES[[#This Row],[UNIDADE]]," "))</f>
        <v>806</v>
      </c>
      <c r="E146" s="13" t="s">
        <v>362</v>
      </c>
      <c r="F146" s="4" t="s">
        <v>240</v>
      </c>
      <c r="G146" s="4" t="s">
        <v>375</v>
      </c>
      <c r="H146" s="4">
        <v>3</v>
      </c>
      <c r="I146" s="4">
        <v>0</v>
      </c>
      <c r="J146" s="13">
        <f>UNIDADES[[#This Row],[SUITES]]+UNIDADES[[#This Row],[QUARTOS]]</f>
        <v>3</v>
      </c>
      <c r="L146" s="4" t="s">
        <v>3</v>
      </c>
      <c r="M146" s="4" t="s">
        <v>190</v>
      </c>
      <c r="N146" s="1">
        <v>74.148600001545901</v>
      </c>
      <c r="O146" s="1">
        <v>5.4337000000000302</v>
      </c>
      <c r="P146" s="1">
        <v>0</v>
      </c>
      <c r="Q146" s="15">
        <f>UNIDADES[[#This Row],[AREA PADRAO]]+UNIDADES[[#This Row],[AREA TERRACO]]*0.5</f>
        <v>74.148600001545901</v>
      </c>
      <c r="R146" s="1" t="s">
        <v>392</v>
      </c>
      <c r="S146" s="16" t="s">
        <v>396</v>
      </c>
    </row>
    <row r="147" spans="1:19" x14ac:dyDescent="0.4">
      <c r="A147" t="s">
        <v>214</v>
      </c>
      <c r="B147" s="4" t="s">
        <v>90</v>
      </c>
      <c r="C147" s="1"/>
      <c r="D147" s="13">
        <f>VALUE(_xlfn.TEXTBEFORE(UNIDADES[[#This Row],[UNIDADE]]," "))</f>
        <v>901</v>
      </c>
      <c r="E147" s="13" t="s">
        <v>362</v>
      </c>
      <c r="F147" s="4" t="s">
        <v>241</v>
      </c>
      <c r="G147" s="4" t="s">
        <v>365</v>
      </c>
      <c r="H147" s="4">
        <v>3</v>
      </c>
      <c r="I147" s="4">
        <v>0</v>
      </c>
      <c r="J147" s="13">
        <f>UNIDADES[[#This Row],[SUITES]]+UNIDADES[[#This Row],[QUARTOS]]</f>
        <v>3</v>
      </c>
      <c r="K147" s="4" t="s">
        <v>188</v>
      </c>
      <c r="L147" s="4" t="s">
        <v>3</v>
      </c>
      <c r="M147" s="4" t="s">
        <v>190</v>
      </c>
      <c r="N147" s="1">
        <v>107.136857496183</v>
      </c>
      <c r="O147" s="1">
        <v>3.5760000000004899</v>
      </c>
      <c r="P147" s="1">
        <v>0</v>
      </c>
      <c r="Q147" s="15">
        <f>UNIDADES[[#This Row],[AREA PADRAO]]+UNIDADES[[#This Row],[AREA TERRACO]]*0.5</f>
        <v>107.136857496183</v>
      </c>
      <c r="R147" s="1" t="s">
        <v>390</v>
      </c>
      <c r="S147" s="16" t="s">
        <v>396</v>
      </c>
    </row>
    <row r="148" spans="1:19" x14ac:dyDescent="0.4">
      <c r="A148" t="s">
        <v>215</v>
      </c>
      <c r="B148" s="4" t="s">
        <v>90</v>
      </c>
      <c r="C148" s="1"/>
      <c r="D148" s="13">
        <f>VALUE(_xlfn.TEXTBEFORE(UNIDADES[[#This Row],[UNIDADE]]," "))</f>
        <v>902</v>
      </c>
      <c r="E148" s="13" t="s">
        <v>362</v>
      </c>
      <c r="F148" s="4" t="s">
        <v>242</v>
      </c>
      <c r="G148" s="4" t="s">
        <v>367</v>
      </c>
      <c r="H148" s="4">
        <v>3</v>
      </c>
      <c r="I148" s="4">
        <v>0</v>
      </c>
      <c r="J148" s="13">
        <f>UNIDADES[[#This Row],[SUITES]]+UNIDADES[[#This Row],[QUARTOS]]</f>
        <v>3</v>
      </c>
      <c r="K148" s="4" t="s">
        <v>188</v>
      </c>
      <c r="L148" s="4" t="s">
        <v>1</v>
      </c>
      <c r="M148" s="4" t="s">
        <v>191</v>
      </c>
      <c r="N148" s="1">
        <v>106.830057496183</v>
      </c>
      <c r="O148" s="1">
        <v>2.6580000000000501</v>
      </c>
      <c r="P148" s="1">
        <v>0</v>
      </c>
      <c r="Q148" s="15">
        <f>UNIDADES[[#This Row],[AREA PADRAO]]+UNIDADES[[#This Row],[AREA TERRACO]]*0.5</f>
        <v>106.830057496183</v>
      </c>
      <c r="R148" s="1" t="s">
        <v>390</v>
      </c>
      <c r="S148" s="16" t="s">
        <v>396</v>
      </c>
    </row>
    <row r="149" spans="1:19" x14ac:dyDescent="0.4">
      <c r="A149" t="s">
        <v>216</v>
      </c>
      <c r="B149" s="4" t="s">
        <v>90</v>
      </c>
      <c r="C149" s="1"/>
      <c r="D149" s="13">
        <f>VALUE(_xlfn.TEXTBEFORE(UNIDADES[[#This Row],[UNIDADE]]," "))</f>
        <v>903</v>
      </c>
      <c r="E149" s="13" t="s">
        <v>362</v>
      </c>
      <c r="F149" s="4" t="s">
        <v>243</v>
      </c>
      <c r="G149" s="4" t="s">
        <v>369</v>
      </c>
      <c r="H149" s="4">
        <v>3</v>
      </c>
      <c r="I149" s="4">
        <v>0</v>
      </c>
      <c r="J149" s="13">
        <f>UNIDADES[[#This Row],[SUITES]]+UNIDADES[[#This Row],[QUARTOS]]</f>
        <v>3</v>
      </c>
      <c r="L149" s="4" t="s">
        <v>1</v>
      </c>
      <c r="M149" s="4" t="s">
        <v>191</v>
      </c>
      <c r="N149" s="1">
        <v>73.431622938558206</v>
      </c>
      <c r="O149" s="1">
        <v>3.6090010382915398</v>
      </c>
      <c r="P149" s="1">
        <v>0</v>
      </c>
      <c r="Q149" s="15">
        <f>UNIDADES[[#This Row],[AREA PADRAO]]+UNIDADES[[#This Row],[AREA TERRACO]]*0.5</f>
        <v>73.431622938558206</v>
      </c>
      <c r="R149" s="1" t="s">
        <v>392</v>
      </c>
      <c r="S149" s="16" t="s">
        <v>396</v>
      </c>
    </row>
    <row r="150" spans="1:19" x14ac:dyDescent="0.4">
      <c r="A150" t="s">
        <v>217</v>
      </c>
      <c r="B150" s="4" t="s">
        <v>90</v>
      </c>
      <c r="C150" s="1"/>
      <c r="D150" s="13">
        <f>VALUE(_xlfn.TEXTBEFORE(UNIDADES[[#This Row],[UNIDADE]]," "))</f>
        <v>904</v>
      </c>
      <c r="E150" s="13" t="s">
        <v>362</v>
      </c>
      <c r="F150" s="4" t="s">
        <v>244</v>
      </c>
      <c r="G150" s="4" t="s">
        <v>371</v>
      </c>
      <c r="H150" s="4">
        <v>3</v>
      </c>
      <c r="I150" s="4">
        <v>0</v>
      </c>
      <c r="J150" s="13">
        <f>UNIDADES[[#This Row],[SUITES]]+UNIDADES[[#This Row],[QUARTOS]]</f>
        <v>3</v>
      </c>
      <c r="K150" s="4" t="s">
        <v>189</v>
      </c>
      <c r="L150" s="4" t="s">
        <v>1</v>
      </c>
      <c r="M150" s="4" t="s">
        <v>191</v>
      </c>
      <c r="N150" s="1">
        <v>83.928650000000104</v>
      </c>
      <c r="O150" s="1">
        <v>4.013849999999815</v>
      </c>
      <c r="P150" s="1">
        <v>0</v>
      </c>
      <c r="Q150" s="15">
        <f>UNIDADES[[#This Row],[AREA PADRAO]]+UNIDADES[[#This Row],[AREA TERRACO]]*0.5</f>
        <v>83.928650000000104</v>
      </c>
      <c r="R150" s="1" t="s">
        <v>392</v>
      </c>
      <c r="S150" s="16" t="s">
        <v>395</v>
      </c>
    </row>
    <row r="151" spans="1:19" x14ac:dyDescent="0.4">
      <c r="A151" t="s">
        <v>218</v>
      </c>
      <c r="B151" s="4" t="s">
        <v>90</v>
      </c>
      <c r="C151" s="1"/>
      <c r="D151" s="13">
        <f>VALUE(_xlfn.TEXTBEFORE(UNIDADES[[#This Row],[UNIDADE]]," "))</f>
        <v>905</v>
      </c>
      <c r="E151" s="13" t="s">
        <v>362</v>
      </c>
      <c r="F151" s="4" t="s">
        <v>253</v>
      </c>
      <c r="G151" s="4" t="s">
        <v>373</v>
      </c>
      <c r="H151" s="4">
        <v>1</v>
      </c>
      <c r="I151" s="4">
        <v>1</v>
      </c>
      <c r="J151" s="13">
        <f>UNIDADES[[#This Row],[SUITES]]+UNIDADES[[#This Row],[QUARTOS]]</f>
        <v>2</v>
      </c>
      <c r="K151" s="4" t="s">
        <v>189</v>
      </c>
      <c r="L151" s="4" t="s">
        <v>3</v>
      </c>
      <c r="M151" s="4" t="s">
        <v>190</v>
      </c>
      <c r="N151" s="1">
        <v>50.736100000002203</v>
      </c>
      <c r="O151" s="1">
        <v>5.4390000000001706</v>
      </c>
      <c r="P151" s="1">
        <v>0</v>
      </c>
      <c r="Q151" s="15">
        <f>UNIDADES[[#This Row],[AREA PADRAO]]+UNIDADES[[#This Row],[AREA TERRACO]]*0.5</f>
        <v>50.736100000002203</v>
      </c>
      <c r="R151" s="1" t="s">
        <v>393</v>
      </c>
      <c r="S151" s="1"/>
    </row>
    <row r="152" spans="1:19" x14ac:dyDescent="0.4">
      <c r="A152" t="s">
        <v>219</v>
      </c>
      <c r="B152" s="4" t="s">
        <v>90</v>
      </c>
      <c r="C152" s="1"/>
      <c r="D152" s="13">
        <f>VALUE(_xlfn.TEXTBEFORE(UNIDADES[[#This Row],[UNIDADE]]," "))</f>
        <v>906</v>
      </c>
      <c r="E152" s="13" t="s">
        <v>362</v>
      </c>
      <c r="F152" s="4" t="s">
        <v>254</v>
      </c>
      <c r="G152" s="4" t="s">
        <v>375</v>
      </c>
      <c r="H152" s="4">
        <v>3</v>
      </c>
      <c r="I152" s="4">
        <v>0</v>
      </c>
      <c r="J152" s="13">
        <f>UNIDADES[[#This Row],[SUITES]]+UNIDADES[[#This Row],[QUARTOS]]</f>
        <v>3</v>
      </c>
      <c r="L152" s="4" t="s">
        <v>3</v>
      </c>
      <c r="M152" s="4" t="s">
        <v>190</v>
      </c>
      <c r="N152" s="1">
        <v>73.377825001545801</v>
      </c>
      <c r="O152" s="1">
        <v>5.9895899831648096</v>
      </c>
      <c r="P152" s="1">
        <v>0</v>
      </c>
      <c r="Q152" s="15">
        <f>UNIDADES[[#This Row],[AREA PADRAO]]+UNIDADES[[#This Row],[AREA TERRACO]]*0.5</f>
        <v>73.377825001545801</v>
      </c>
      <c r="R152" s="1" t="s">
        <v>392</v>
      </c>
      <c r="S152" s="16" t="s">
        <v>396</v>
      </c>
    </row>
    <row r="153" spans="1:19" x14ac:dyDescent="0.4">
      <c r="A153" t="s">
        <v>288</v>
      </c>
      <c r="B153" s="4" t="s">
        <v>100</v>
      </c>
      <c r="C153" s="1"/>
      <c r="D153" s="13">
        <f>VALUE(_xlfn.TEXTBEFORE(UNIDADES[[#This Row],[UNIDADE]]," "))</f>
        <v>1001</v>
      </c>
      <c r="E153" s="13" t="s">
        <v>362</v>
      </c>
      <c r="F153" s="4" t="s">
        <v>221</v>
      </c>
      <c r="G153" s="4" t="s">
        <v>365</v>
      </c>
      <c r="H153" s="4">
        <v>3</v>
      </c>
      <c r="I153" s="4">
        <v>0</v>
      </c>
      <c r="J153" s="13">
        <f>UNIDADES[[#This Row],[SUITES]]+UNIDADES[[#This Row],[QUARTOS]]</f>
        <v>3</v>
      </c>
      <c r="K153" s="4" t="s">
        <v>188</v>
      </c>
      <c r="L153" s="4" t="s">
        <v>3</v>
      </c>
      <c r="M153" s="4" t="s">
        <v>190</v>
      </c>
      <c r="N153" s="1">
        <v>107.332157496183</v>
      </c>
      <c r="O153" s="1">
        <v>4.0859289940827503</v>
      </c>
      <c r="P153" s="1">
        <v>0</v>
      </c>
      <c r="Q153" s="15">
        <f>UNIDADES[[#This Row],[AREA PADRAO]]+UNIDADES[[#This Row],[AREA TERRACO]]*0.5</f>
        <v>107.332157496183</v>
      </c>
      <c r="R153" s="1" t="s">
        <v>390</v>
      </c>
      <c r="S153" s="16" t="s">
        <v>396</v>
      </c>
    </row>
    <row r="154" spans="1:19" x14ac:dyDescent="0.4">
      <c r="A154" t="s">
        <v>300</v>
      </c>
      <c r="B154" s="4" t="s">
        <v>100</v>
      </c>
      <c r="C154" s="1"/>
      <c r="D154" s="13">
        <f>VALUE(_xlfn.TEXTBEFORE(UNIDADES[[#This Row],[UNIDADE]]," "))</f>
        <v>1002</v>
      </c>
      <c r="E154" s="13" t="s">
        <v>362</v>
      </c>
      <c r="F154" s="4" t="s">
        <v>220</v>
      </c>
      <c r="G154" s="4" t="s">
        <v>367</v>
      </c>
      <c r="H154" s="4">
        <v>3</v>
      </c>
      <c r="I154" s="4">
        <v>0</v>
      </c>
      <c r="J154" s="13">
        <f>UNIDADES[[#This Row],[SUITES]]+UNIDADES[[#This Row],[QUARTOS]]</f>
        <v>3</v>
      </c>
      <c r="K154" s="4" t="s">
        <v>188</v>
      </c>
      <c r="L154" s="4" t="s">
        <v>1</v>
      </c>
      <c r="M154" s="4" t="s">
        <v>191</v>
      </c>
      <c r="N154" s="1">
        <v>107.332157496183</v>
      </c>
      <c r="O154" s="1">
        <v>4.0859289940826899</v>
      </c>
      <c r="P154" s="1">
        <v>0</v>
      </c>
      <c r="Q154" s="15">
        <f>UNIDADES[[#This Row],[AREA PADRAO]]+UNIDADES[[#This Row],[AREA TERRACO]]*0.5</f>
        <v>107.332157496183</v>
      </c>
      <c r="R154" s="1" t="s">
        <v>390</v>
      </c>
      <c r="S154" s="16" t="s">
        <v>396</v>
      </c>
    </row>
    <row r="155" spans="1:19" x14ac:dyDescent="0.4">
      <c r="A155" t="s">
        <v>314</v>
      </c>
      <c r="B155" s="4" t="s">
        <v>100</v>
      </c>
      <c r="C155" s="1"/>
      <c r="D155" s="13">
        <f>VALUE(_xlfn.TEXTBEFORE(UNIDADES[[#This Row],[UNIDADE]]," "))</f>
        <v>1003</v>
      </c>
      <c r="E155" s="13" t="s">
        <v>362</v>
      </c>
      <c r="F155" s="4" t="s">
        <v>237</v>
      </c>
      <c r="G155" s="4" t="s">
        <v>369</v>
      </c>
      <c r="H155" s="4">
        <v>3</v>
      </c>
      <c r="I155" s="4">
        <v>0</v>
      </c>
      <c r="J155" s="13">
        <f>UNIDADES[[#This Row],[SUITES]]+UNIDADES[[#This Row],[QUARTOS]]</f>
        <v>3</v>
      </c>
      <c r="L155" s="4" t="s">
        <v>1</v>
      </c>
      <c r="M155" s="4" t="s">
        <v>191</v>
      </c>
      <c r="N155" s="1">
        <v>73.207900000000393</v>
      </c>
      <c r="O155" s="1">
        <v>2.0861999999999901</v>
      </c>
      <c r="P155" s="1">
        <v>0</v>
      </c>
      <c r="Q155" s="15">
        <f>UNIDADES[[#This Row],[AREA PADRAO]]+UNIDADES[[#This Row],[AREA TERRACO]]*0.5</f>
        <v>73.207900000000393</v>
      </c>
      <c r="R155" s="1" t="s">
        <v>392</v>
      </c>
      <c r="S155" s="16" t="s">
        <v>396</v>
      </c>
    </row>
    <row r="156" spans="1:19" x14ac:dyDescent="0.4">
      <c r="A156" t="s">
        <v>321</v>
      </c>
      <c r="B156" s="4" t="s">
        <v>100</v>
      </c>
      <c r="C156" s="1"/>
      <c r="D156" s="13">
        <f>VALUE(_xlfn.TEXTBEFORE(UNIDADES[[#This Row],[UNIDADE]]," "))</f>
        <v>1004</v>
      </c>
      <c r="E156" s="13" t="s">
        <v>362</v>
      </c>
      <c r="F156" s="4" t="s">
        <v>238</v>
      </c>
      <c r="G156" s="4" t="s">
        <v>371</v>
      </c>
      <c r="H156" s="4">
        <v>3</v>
      </c>
      <c r="I156" s="4">
        <v>0</v>
      </c>
      <c r="J156" s="13">
        <f>UNIDADES[[#This Row],[SUITES]]+UNIDADES[[#This Row],[QUARTOS]]</f>
        <v>3</v>
      </c>
      <c r="K156" s="4" t="s">
        <v>189</v>
      </c>
      <c r="L156" s="4" t="s">
        <v>1</v>
      </c>
      <c r="M156" s="4" t="s">
        <v>191</v>
      </c>
      <c r="N156" s="1">
        <v>83.711328110599297</v>
      </c>
      <c r="O156" s="1">
        <v>4.4397760368663199</v>
      </c>
      <c r="P156" s="1">
        <v>0</v>
      </c>
      <c r="Q156" s="15">
        <f>UNIDADES[[#This Row],[AREA PADRAO]]+UNIDADES[[#This Row],[AREA TERRACO]]*0.5</f>
        <v>83.711328110599297</v>
      </c>
      <c r="R156" s="1" t="s">
        <v>392</v>
      </c>
      <c r="S156" s="16" t="s">
        <v>395</v>
      </c>
    </row>
    <row r="157" spans="1:19" x14ac:dyDescent="0.4">
      <c r="A157" t="s">
        <v>318</v>
      </c>
      <c r="B157" s="4" t="s">
        <v>100</v>
      </c>
      <c r="C157" s="1"/>
      <c r="D157" s="13">
        <f>VALUE(_xlfn.TEXTBEFORE(UNIDADES[[#This Row],[UNIDADE]]," "))</f>
        <v>1005</v>
      </c>
      <c r="E157" s="13" t="s">
        <v>362</v>
      </c>
      <c r="F157" s="4" t="s">
        <v>239</v>
      </c>
      <c r="G157" s="4" t="s">
        <v>373</v>
      </c>
      <c r="H157" s="4">
        <v>1</v>
      </c>
      <c r="I157" s="4">
        <v>1</v>
      </c>
      <c r="J157" s="13">
        <f>UNIDADES[[#This Row],[SUITES]]+UNIDADES[[#This Row],[QUARTOS]]</f>
        <v>2</v>
      </c>
      <c r="K157" s="4" t="s">
        <v>189</v>
      </c>
      <c r="L157" s="4" t="s">
        <v>3</v>
      </c>
      <c r="M157" s="4" t="s">
        <v>190</v>
      </c>
      <c r="N157" s="1">
        <v>53.910100000003084</v>
      </c>
      <c r="O157" s="1">
        <v>2.26499999999985</v>
      </c>
      <c r="P157" s="1">
        <v>0</v>
      </c>
      <c r="Q157" s="15">
        <f>UNIDADES[[#This Row],[AREA PADRAO]]+UNIDADES[[#This Row],[AREA TERRACO]]*0.5</f>
        <v>53.910100000003084</v>
      </c>
      <c r="R157" s="1" t="s">
        <v>393</v>
      </c>
      <c r="S157" s="1"/>
    </row>
    <row r="158" spans="1:19" x14ac:dyDescent="0.4">
      <c r="A158" t="s">
        <v>316</v>
      </c>
      <c r="B158" s="4" t="s">
        <v>100</v>
      </c>
      <c r="C158" s="1"/>
      <c r="D158" s="13">
        <f>VALUE(_xlfn.TEXTBEFORE(UNIDADES[[#This Row],[UNIDADE]]," "))</f>
        <v>1006</v>
      </c>
      <c r="E158" s="13" t="s">
        <v>362</v>
      </c>
      <c r="F158" s="4" t="s">
        <v>240</v>
      </c>
      <c r="G158" s="4" t="s">
        <v>375</v>
      </c>
      <c r="H158" s="4">
        <v>3</v>
      </c>
      <c r="I158" s="4">
        <v>0</v>
      </c>
      <c r="J158" s="13">
        <f>UNIDADES[[#This Row],[SUITES]]+UNIDADES[[#This Row],[QUARTOS]]</f>
        <v>3</v>
      </c>
      <c r="L158" s="4" t="s">
        <v>3</v>
      </c>
      <c r="M158" s="4" t="s">
        <v>190</v>
      </c>
      <c r="N158" s="1">
        <v>74.148600001545901</v>
      </c>
      <c r="O158" s="1">
        <v>5.4337000000000302</v>
      </c>
      <c r="P158" s="1">
        <v>0</v>
      </c>
      <c r="Q158" s="15">
        <f>UNIDADES[[#This Row],[AREA PADRAO]]+UNIDADES[[#This Row],[AREA TERRACO]]*0.5</f>
        <v>74.148600001545901</v>
      </c>
      <c r="R158" s="1" t="s">
        <v>392</v>
      </c>
      <c r="S158" s="16" t="s">
        <v>396</v>
      </c>
    </row>
    <row r="159" spans="1:19" x14ac:dyDescent="0.4">
      <c r="A159" t="s">
        <v>287</v>
      </c>
      <c r="B159" s="4" t="s">
        <v>110</v>
      </c>
      <c r="C159" s="1"/>
      <c r="D159" s="13">
        <f>VALUE(_xlfn.TEXTBEFORE(UNIDADES[[#This Row],[UNIDADE]]," "))</f>
        <v>1101</v>
      </c>
      <c r="E159" s="13" t="s">
        <v>362</v>
      </c>
      <c r="F159" s="4" t="s">
        <v>287</v>
      </c>
      <c r="G159" s="4" t="s">
        <v>365</v>
      </c>
      <c r="H159" s="4">
        <v>3</v>
      </c>
      <c r="I159" s="4">
        <v>0</v>
      </c>
      <c r="J159" s="13">
        <f>UNIDADES[[#This Row],[SUITES]]+UNIDADES[[#This Row],[QUARTOS]]</f>
        <v>3</v>
      </c>
      <c r="K159" s="4" t="s">
        <v>188</v>
      </c>
      <c r="L159" s="4" t="s">
        <v>3</v>
      </c>
      <c r="M159" s="4" t="s">
        <v>190</v>
      </c>
      <c r="N159" s="1">
        <v>107.136857496183</v>
      </c>
      <c r="O159" s="1">
        <v>3.5760000000004899</v>
      </c>
      <c r="P159" s="1">
        <v>0</v>
      </c>
      <c r="Q159" s="15">
        <f>UNIDADES[[#This Row],[AREA PADRAO]]+UNIDADES[[#This Row],[AREA TERRACO]]*0.5</f>
        <v>107.136857496183</v>
      </c>
      <c r="R159" s="1" t="s">
        <v>390</v>
      </c>
      <c r="S159" s="16" t="s">
        <v>396</v>
      </c>
    </row>
    <row r="160" spans="1:19" x14ac:dyDescent="0.4">
      <c r="A160" t="s">
        <v>299</v>
      </c>
      <c r="B160" s="4" t="s">
        <v>110</v>
      </c>
      <c r="C160" s="1"/>
      <c r="D160" s="13">
        <f>VALUE(_xlfn.TEXTBEFORE(UNIDADES[[#This Row],[UNIDADE]]," "))</f>
        <v>1102</v>
      </c>
      <c r="E160" s="13" t="s">
        <v>362</v>
      </c>
      <c r="F160" s="4" t="s">
        <v>299</v>
      </c>
      <c r="G160" s="4" t="s">
        <v>367</v>
      </c>
      <c r="H160" s="4">
        <v>3</v>
      </c>
      <c r="I160" s="4">
        <v>0</v>
      </c>
      <c r="J160" s="13">
        <f>UNIDADES[[#This Row],[SUITES]]+UNIDADES[[#This Row],[QUARTOS]]</f>
        <v>3</v>
      </c>
      <c r="K160" s="4" t="s">
        <v>188</v>
      </c>
      <c r="L160" s="4" t="s">
        <v>1</v>
      </c>
      <c r="M160" s="4" t="s">
        <v>191</v>
      </c>
      <c r="N160" s="1">
        <v>106.16825</v>
      </c>
      <c r="O160" s="1">
        <v>2.6580000000000399</v>
      </c>
      <c r="P160" s="1">
        <v>0</v>
      </c>
      <c r="Q160" s="15">
        <f>UNIDADES[[#This Row],[AREA PADRAO]]+UNIDADES[[#This Row],[AREA TERRACO]]*0.5</f>
        <v>106.16825</v>
      </c>
      <c r="R160" s="1" t="s">
        <v>390</v>
      </c>
      <c r="S160" s="16" t="s">
        <v>396</v>
      </c>
    </row>
    <row r="161" spans="1:19" x14ac:dyDescent="0.4">
      <c r="A161" t="s">
        <v>315</v>
      </c>
      <c r="B161" s="4" t="s">
        <v>110</v>
      </c>
      <c r="C161" s="1"/>
      <c r="D161" s="13">
        <f>VALUE(_xlfn.TEXTBEFORE(UNIDADES[[#This Row],[UNIDADE]]," "))</f>
        <v>1103</v>
      </c>
      <c r="E161" s="13" t="s">
        <v>362</v>
      </c>
      <c r="F161" s="4" t="s">
        <v>315</v>
      </c>
      <c r="G161" s="4" t="s">
        <v>369</v>
      </c>
      <c r="H161" s="4">
        <v>3</v>
      </c>
      <c r="I161" s="4">
        <v>0</v>
      </c>
      <c r="J161" s="13">
        <f>UNIDADES[[#This Row],[SUITES]]+UNIDADES[[#This Row],[QUARTOS]]</f>
        <v>3</v>
      </c>
      <c r="L161" s="4" t="s">
        <v>1</v>
      </c>
      <c r="M161" s="4" t="s">
        <v>191</v>
      </c>
      <c r="N161" s="1">
        <v>73.431622938558206</v>
      </c>
      <c r="O161" s="1">
        <v>3.6090010382915398</v>
      </c>
      <c r="P161" s="1">
        <v>0</v>
      </c>
      <c r="Q161" s="15">
        <f>UNIDADES[[#This Row],[AREA PADRAO]]+UNIDADES[[#This Row],[AREA TERRACO]]*0.5</f>
        <v>73.431622938558206</v>
      </c>
      <c r="R161" s="1" t="s">
        <v>392</v>
      </c>
      <c r="S161" s="16" t="s">
        <v>396</v>
      </c>
    </row>
    <row r="162" spans="1:19" x14ac:dyDescent="0.4">
      <c r="A162" t="s">
        <v>320</v>
      </c>
      <c r="B162" s="4" t="s">
        <v>110</v>
      </c>
      <c r="C162" s="1"/>
      <c r="D162" s="13">
        <f>VALUE(_xlfn.TEXTBEFORE(UNIDADES[[#This Row],[UNIDADE]]," "))</f>
        <v>1104</v>
      </c>
      <c r="E162" s="13" t="s">
        <v>362</v>
      </c>
      <c r="F162" s="4" t="s">
        <v>320</v>
      </c>
      <c r="G162" s="4" t="s">
        <v>371</v>
      </c>
      <c r="H162" s="4">
        <v>3</v>
      </c>
      <c r="I162" s="4">
        <v>0</v>
      </c>
      <c r="J162" s="13">
        <f>UNIDADES[[#This Row],[SUITES]]+UNIDADES[[#This Row],[QUARTOS]]</f>
        <v>3</v>
      </c>
      <c r="K162" s="4" t="s">
        <v>189</v>
      </c>
      <c r="L162" s="4" t="s">
        <v>1</v>
      </c>
      <c r="M162" s="4" t="s">
        <v>191</v>
      </c>
      <c r="N162" s="1">
        <v>83.928650000000104</v>
      </c>
      <c r="O162" s="1">
        <v>4.013849999999815</v>
      </c>
      <c r="P162" s="1">
        <v>0</v>
      </c>
      <c r="Q162" s="15">
        <f>UNIDADES[[#This Row],[AREA PADRAO]]+UNIDADES[[#This Row],[AREA TERRACO]]*0.5</f>
        <v>83.928650000000104</v>
      </c>
      <c r="R162" s="1" t="s">
        <v>392</v>
      </c>
      <c r="S162" s="16" t="s">
        <v>395</v>
      </c>
    </row>
    <row r="163" spans="1:19" x14ac:dyDescent="0.4">
      <c r="A163" t="s">
        <v>319</v>
      </c>
      <c r="B163" s="4" t="s">
        <v>110</v>
      </c>
      <c r="C163" s="1"/>
      <c r="D163" s="13">
        <f>VALUE(_xlfn.TEXTBEFORE(UNIDADES[[#This Row],[UNIDADE]]," "))</f>
        <v>1105</v>
      </c>
      <c r="E163" s="13" t="s">
        <v>362</v>
      </c>
      <c r="F163" s="4" t="s">
        <v>319</v>
      </c>
      <c r="G163" s="4" t="s">
        <v>373</v>
      </c>
      <c r="H163" s="4">
        <v>1</v>
      </c>
      <c r="I163" s="4">
        <v>1</v>
      </c>
      <c r="J163" s="13">
        <f>UNIDADES[[#This Row],[SUITES]]+UNIDADES[[#This Row],[QUARTOS]]</f>
        <v>2</v>
      </c>
      <c r="K163" s="4" t="s">
        <v>189</v>
      </c>
      <c r="L163" s="4" t="s">
        <v>3</v>
      </c>
      <c r="M163" s="4" t="s">
        <v>190</v>
      </c>
      <c r="N163" s="1">
        <v>50.736100000002203</v>
      </c>
      <c r="O163" s="1">
        <v>5.4390000000001706</v>
      </c>
      <c r="P163" s="1">
        <v>0</v>
      </c>
      <c r="Q163" s="15">
        <f>UNIDADES[[#This Row],[AREA PADRAO]]+UNIDADES[[#This Row],[AREA TERRACO]]*0.5</f>
        <v>50.736100000002203</v>
      </c>
      <c r="R163" s="1" t="s">
        <v>393</v>
      </c>
      <c r="S163" s="1"/>
    </row>
    <row r="164" spans="1:19" x14ac:dyDescent="0.4">
      <c r="A164" t="s">
        <v>317</v>
      </c>
      <c r="B164" s="4" t="s">
        <v>110</v>
      </c>
      <c r="C164" s="1"/>
      <c r="D164" s="13">
        <f>VALUE(_xlfn.TEXTBEFORE(UNIDADES[[#This Row],[UNIDADE]]," "))</f>
        <v>1106</v>
      </c>
      <c r="E164" s="13" t="s">
        <v>362</v>
      </c>
      <c r="F164" s="4" t="s">
        <v>317</v>
      </c>
      <c r="G164" s="4" t="s">
        <v>375</v>
      </c>
      <c r="H164" s="4">
        <v>3</v>
      </c>
      <c r="I164" s="4">
        <v>0</v>
      </c>
      <c r="J164" s="13">
        <f>UNIDADES[[#This Row],[SUITES]]+UNIDADES[[#This Row],[QUARTOS]]</f>
        <v>3</v>
      </c>
      <c r="L164" s="4" t="s">
        <v>3</v>
      </c>
      <c r="M164" s="4" t="s">
        <v>190</v>
      </c>
      <c r="N164" s="1">
        <v>73.377825001545801</v>
      </c>
      <c r="O164" s="1">
        <v>5.9895899831648096</v>
      </c>
      <c r="P164" s="1">
        <v>0</v>
      </c>
      <c r="Q164" s="15">
        <f>UNIDADES[[#This Row],[AREA PADRAO]]+UNIDADES[[#This Row],[AREA TERRACO]]*0.5</f>
        <v>73.377825001545801</v>
      </c>
      <c r="R164" s="1" t="s">
        <v>392</v>
      </c>
      <c r="S164" s="16" t="s">
        <v>396</v>
      </c>
    </row>
    <row r="166" spans="1:19" x14ac:dyDescent="0.4">
      <c r="F166" t="s">
        <v>397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BCF7-7521-4F7A-98AA-D0A8D95478AB}">
  <dimension ref="A1"/>
  <sheetViews>
    <sheetView workbookViewId="0"/>
  </sheetViews>
  <sheetFormatPr defaultRowHeight="14.6" x14ac:dyDescent="0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4"/>
  <sheetViews>
    <sheetView zoomScale="85" zoomScaleNormal="85" workbookViewId="0">
      <selection activeCell="B4" sqref="B4"/>
    </sheetView>
  </sheetViews>
  <sheetFormatPr defaultRowHeight="14.6" x14ac:dyDescent="0.4"/>
  <cols>
    <col min="1" max="1" width="11.3828125" customWidth="1"/>
    <col min="2" max="2" width="28" bestFit="1" customWidth="1"/>
    <col min="3" max="4" width="18.3828125" customWidth="1"/>
    <col min="5" max="5" width="23.15234375" customWidth="1"/>
    <col min="6" max="6" width="18.3828125" customWidth="1"/>
    <col min="7" max="7" width="17.3828125" style="8" customWidth="1"/>
    <col min="8" max="8" width="16.84375" style="1" bestFit="1" customWidth="1"/>
    <col min="9" max="9" width="16.84375" style="1" customWidth="1"/>
    <col min="10" max="10" width="19" style="1" bestFit="1" customWidth="1"/>
    <col min="11" max="11" width="24.15234375" style="1" bestFit="1" customWidth="1"/>
    <col min="12" max="13" width="16.84375" style="1" customWidth="1"/>
    <col min="14" max="14" width="13.3828125" bestFit="1" customWidth="1"/>
    <col min="15" max="15" width="10.3046875" bestFit="1" customWidth="1"/>
    <col min="16" max="16" width="19" bestFit="1" customWidth="1"/>
    <col min="17" max="17" width="12" bestFit="1" customWidth="1"/>
  </cols>
  <sheetData>
    <row r="1" spans="1:16" x14ac:dyDescent="0.4">
      <c r="A1" t="s">
        <v>4</v>
      </c>
      <c r="B1" t="s">
        <v>363</v>
      </c>
      <c r="C1" s="2" t="s">
        <v>8</v>
      </c>
      <c r="D1" s="2" t="s">
        <v>193</v>
      </c>
      <c r="E1" s="1" t="s">
        <v>194</v>
      </c>
      <c r="F1" s="2" t="s">
        <v>2</v>
      </c>
      <c r="G1" s="8" t="s">
        <v>185</v>
      </c>
      <c r="H1" s="9" t="s">
        <v>186</v>
      </c>
      <c r="I1" s="10" t="s">
        <v>379</v>
      </c>
      <c r="J1" s="10" t="s">
        <v>384</v>
      </c>
      <c r="K1" s="10" t="s">
        <v>385</v>
      </c>
      <c r="L1" s="10" t="s">
        <v>380</v>
      </c>
      <c r="M1" s="10" t="s">
        <v>387</v>
      </c>
      <c r="O1" t="s">
        <v>0</v>
      </c>
      <c r="P1" s="3">
        <v>164211312.52000001</v>
      </c>
    </row>
    <row r="2" spans="1:16" x14ac:dyDescent="0.4">
      <c r="A2" t="s">
        <v>204</v>
      </c>
      <c r="B2" t="str">
        <f>TRIM(_xlfn.XLOOKUP(A2,UNIDADES[UNIDADE],UNIDADES[POSICAO NASCENTE/POENTE]) &amp; " " &amp; _xlfn.XLOOKUP(A2,UNIDADES[UNIDADE],UNIDADES[POSICAO NORTE/SUL]) &amp; " " &amp; _xlfn.XLOOKUP(A2,UNIDADES[UNIDADE],UNIDADES[POSICAO INTERNO/EXTERNO]))</f>
        <v>NASCENTE NORTE INTERNO</v>
      </c>
      <c r="C2" s="2">
        <f>_xlfn.XLOOKUP(A2,UNIDADES[UNIDADE],UNIDADES[AREA PADRAO])</f>
        <v>107.13665749618301</v>
      </c>
      <c r="D2" s="2">
        <f>_xlfn.XLOOKUP(A2,UNIDADES[UNIDADE],UNIDADES[AREA TERRACO])</f>
        <v>0</v>
      </c>
      <c r="E2" s="1">
        <f>_xlfn.XLOOKUP(A2,UNIDADES[UNIDADE],UNIDADES[AREA CALCULO DE PRECO])</f>
        <v>107.13665749618301</v>
      </c>
      <c r="F2" s="2">
        <v>100</v>
      </c>
      <c r="G2" s="8">
        <f t="shared" ref="G2:G33" si="0">F2*E2/SUMPRODUCT(F:F,E:E)</f>
        <v>7.345792605422923E-3</v>
      </c>
      <c r="H2" s="9">
        <f t="shared" ref="H2:H33" si="1">G2*$P$1</f>
        <v>1206262.2452362087</v>
      </c>
      <c r="I2" s="3">
        <f>H2*0.1</f>
        <v>120626.22452362087</v>
      </c>
      <c r="J2" s="3">
        <f>H2*0.25/52</f>
        <v>5799.3377174817724</v>
      </c>
      <c r="K2" s="3">
        <f>H2*0.2/7</f>
        <v>34464.635578177389</v>
      </c>
      <c r="L2" s="3">
        <f>H2*0.45</f>
        <v>542818.01035629387</v>
      </c>
      <c r="M2" s="3" t="s">
        <v>386</v>
      </c>
      <c r="N2" s="5">
        <f>H2/E2</f>
        <v>11259.099111610651</v>
      </c>
      <c r="O2" t="s">
        <v>192</v>
      </c>
      <c r="P2" s="5">
        <f>P1/SUM(E:E)</f>
        <v>13391.313117154239</v>
      </c>
    </row>
    <row r="3" spans="1:16" x14ac:dyDescent="0.4">
      <c r="A3" t="s">
        <v>205</v>
      </c>
      <c r="B3" t="str">
        <f>TRIM(_xlfn.XLOOKUP(A3,UNIDADES[UNIDADE],UNIDADES[POSICAO NASCENTE/POENTE]) &amp; " " &amp; _xlfn.XLOOKUP(A3,UNIDADES[UNIDADE],UNIDADES[POSICAO NORTE/SUL]) &amp; " " &amp; _xlfn.XLOOKUP(A3,UNIDADES[UNIDADE],UNIDADES[POSICAO INTERNO/EXTERNO]))</f>
        <v>NASCENTE SUL EXTERNO</v>
      </c>
      <c r="C3" s="2">
        <f>_xlfn.XLOOKUP(A3,UNIDADES[UNIDADE],UNIDADES[AREA PADRAO])</f>
        <v>106.830057496183</v>
      </c>
      <c r="D3" s="2">
        <f>_xlfn.XLOOKUP(A3,UNIDADES[UNIDADE],UNIDADES[AREA TERRACO])</f>
        <v>0</v>
      </c>
      <c r="E3" s="1">
        <f>_xlfn.XLOOKUP(A3,UNIDADES[UNIDADE],UNIDADES[AREA CALCULO DE PRECO])</f>
        <v>106.830057496183</v>
      </c>
      <c r="F3" s="2">
        <f>F2</f>
        <v>100</v>
      </c>
      <c r="G3" s="8">
        <f t="shared" si="0"/>
        <v>7.3247706689031763E-3</v>
      </c>
      <c r="H3" s="9">
        <f t="shared" si="1"/>
        <v>1202810.2054485891</v>
      </c>
      <c r="I3" s="3">
        <f t="shared" ref="I3:I66" si="2">H3*0.1</f>
        <v>120281.02054485891</v>
      </c>
      <c r="J3" s="3">
        <f t="shared" ref="J3:J66" si="3">H3*0.25/52</f>
        <v>5782.7413723489863</v>
      </c>
      <c r="K3" s="3">
        <f t="shared" ref="K3:K66" si="4">H3*0.2/7</f>
        <v>34366.005869959692</v>
      </c>
      <c r="L3" s="3">
        <f t="shared" ref="L3:L66" si="5">H3*0.45</f>
        <v>541264.59245186509</v>
      </c>
      <c r="M3" s="3" t="s">
        <v>386</v>
      </c>
      <c r="N3" s="5">
        <f t="shared" ref="N3" si="6">H3/E3</f>
        <v>11259.099111610652</v>
      </c>
    </row>
    <row r="4" spans="1:16" x14ac:dyDescent="0.4">
      <c r="A4" t="s">
        <v>206</v>
      </c>
      <c r="B4" t="str">
        <f>TRIM(_xlfn.XLOOKUP(A4,UNIDADES[UNIDADE],UNIDADES[POSICAO NASCENTE/POENTE]) &amp; " " &amp; _xlfn.XLOOKUP(A4,UNIDADES[UNIDADE],UNIDADES[POSICAO NORTE/SUL]) &amp; " " &amp; _xlfn.XLOOKUP(A4,UNIDADES[UNIDADE],UNIDADES[POSICAO INTERNO/EXTERNO]))</f>
        <v>SUL EXTERNO</v>
      </c>
      <c r="C4" s="2">
        <f>_xlfn.XLOOKUP(A4,UNIDADES[UNIDADE],UNIDADES[AREA PADRAO])</f>
        <v>73.431622938558505</v>
      </c>
      <c r="D4" s="2">
        <f>_xlfn.XLOOKUP(A4,UNIDADES[UNIDADE],UNIDADES[AREA TERRACO])</f>
        <v>0</v>
      </c>
      <c r="E4" s="1">
        <f>_xlfn.XLOOKUP(A4,UNIDADES[UNIDADE],UNIDADES[AREA CALCULO DE PRECO])</f>
        <v>73.431622938558505</v>
      </c>
      <c r="F4" s="2">
        <f>F2*0.85</f>
        <v>85</v>
      </c>
      <c r="G4" s="8">
        <f t="shared" si="0"/>
        <v>4.2795945158608526E-3</v>
      </c>
      <c r="H4" s="9">
        <f t="shared" si="1"/>
        <v>702757.83250290458</v>
      </c>
      <c r="I4" s="3">
        <f t="shared" si="2"/>
        <v>70275.783250290464</v>
      </c>
      <c r="J4" s="3">
        <f t="shared" si="3"/>
        <v>3378.6434254947335</v>
      </c>
      <c r="K4" s="3">
        <f t="shared" si="4"/>
        <v>20078.795214368703</v>
      </c>
      <c r="L4" s="3">
        <f t="shared" si="5"/>
        <v>316241.02462630707</v>
      </c>
      <c r="M4" s="3" t="s">
        <v>386</v>
      </c>
      <c r="N4" s="5">
        <f>H4/E4</f>
        <v>9570.2342448690542</v>
      </c>
    </row>
    <row r="5" spans="1:16" x14ac:dyDescent="0.4">
      <c r="A5" t="s">
        <v>207</v>
      </c>
      <c r="B5" t="str">
        <f>TRIM(_xlfn.XLOOKUP(A5,UNIDADES[UNIDADE],UNIDADES[POSICAO NASCENTE/POENTE]) &amp; " " &amp; _xlfn.XLOOKUP(A5,UNIDADES[UNIDADE],UNIDADES[POSICAO NORTE/SUL]) &amp; " " &amp; _xlfn.XLOOKUP(A5,UNIDADES[UNIDADE],UNIDADES[POSICAO INTERNO/EXTERNO]))</f>
        <v>POENTE SUL EXTERNO</v>
      </c>
      <c r="C5" s="2">
        <f>_xlfn.XLOOKUP(A5,UNIDADES[UNIDADE],UNIDADES[AREA PADRAO])</f>
        <v>83.925600000000102</v>
      </c>
      <c r="D5" s="2">
        <f>_xlfn.XLOOKUP(A5,UNIDADES[UNIDADE],UNIDADES[AREA TERRACO])</f>
        <v>0</v>
      </c>
      <c r="E5" s="1">
        <f>_xlfn.XLOOKUP(A5,UNIDADES[UNIDADE],UNIDADES[AREA CALCULO DE PRECO])</f>
        <v>83.925600000000102</v>
      </c>
      <c r="F5" s="2">
        <f>F2*0.85</f>
        <v>85</v>
      </c>
      <c r="G5" s="8">
        <f t="shared" si="0"/>
        <v>4.8911834319779867E-3</v>
      </c>
      <c r="H5" s="9">
        <f t="shared" si="1"/>
        <v>803187.65114118333</v>
      </c>
      <c r="I5" s="3">
        <f t="shared" si="2"/>
        <v>80318.765114118345</v>
      </c>
      <c r="J5" s="3">
        <f t="shared" si="3"/>
        <v>3861.4790920249197</v>
      </c>
      <c r="K5" s="3">
        <f t="shared" si="4"/>
        <v>22948.218604033813</v>
      </c>
      <c r="L5" s="3">
        <f t="shared" si="5"/>
        <v>361434.44301353249</v>
      </c>
      <c r="M5" s="3" t="s">
        <v>386</v>
      </c>
      <c r="N5" s="5">
        <f>H5/E5</f>
        <v>9570.2342448690542</v>
      </c>
    </row>
    <row r="6" spans="1:16" x14ac:dyDescent="0.4">
      <c r="A6" t="s">
        <v>208</v>
      </c>
      <c r="B6" t="str">
        <f>TRIM(_xlfn.XLOOKUP(A6,UNIDADES[UNIDADE],UNIDADES[POSICAO NASCENTE/POENTE]) &amp; " " &amp; _xlfn.XLOOKUP(A6,UNIDADES[UNIDADE],UNIDADES[POSICAO NORTE/SUL]) &amp; " " &amp; _xlfn.XLOOKUP(A6,UNIDADES[UNIDADE],UNIDADES[POSICAO INTERNO/EXTERNO]))</f>
        <v>POENTE NORTE INTERNO</v>
      </c>
      <c r="C6" s="2">
        <f>_xlfn.XLOOKUP(A6,UNIDADES[UNIDADE],UNIDADES[AREA PADRAO])</f>
        <v>53.910099189760402</v>
      </c>
      <c r="D6" s="2">
        <f>_xlfn.XLOOKUP(A6,UNIDADES[UNIDADE],UNIDADES[AREA TERRACO])</f>
        <v>23.2800008091872</v>
      </c>
      <c r="E6" s="1">
        <f>_xlfn.XLOOKUP(A6,UNIDADES[UNIDADE],UNIDADES[AREA CALCULO DE PRECO])</f>
        <v>65.550099594354009</v>
      </c>
      <c r="F6" s="2">
        <f>F2*0.92</f>
        <v>92</v>
      </c>
      <c r="G6" s="8">
        <f t="shared" si="0"/>
        <v>4.1348689821682121E-3</v>
      </c>
      <c r="H6" s="9">
        <f t="shared" si="1"/>
        <v>678992.26266007859</v>
      </c>
      <c r="I6" s="3">
        <f t="shared" si="2"/>
        <v>67899.226266007856</v>
      </c>
      <c r="J6" s="3">
        <f t="shared" si="3"/>
        <v>3264.3858781734548</v>
      </c>
      <c r="K6" s="3">
        <f t="shared" si="4"/>
        <v>19399.778933145102</v>
      </c>
      <c r="L6" s="3">
        <f t="shared" si="5"/>
        <v>305546.51819703536</v>
      </c>
      <c r="M6" s="3" t="s">
        <v>386</v>
      </c>
      <c r="N6" s="5">
        <f t="shared" ref="N6:N8" si="7">H6/E6</f>
        <v>10358.371182681802</v>
      </c>
    </row>
    <row r="7" spans="1:16" x14ac:dyDescent="0.4">
      <c r="A7" t="s">
        <v>209</v>
      </c>
      <c r="B7" t="str">
        <f>TRIM(_xlfn.XLOOKUP(A7,UNIDADES[UNIDADE],UNIDADES[POSICAO NASCENTE/POENTE]) &amp; " " &amp; _xlfn.XLOOKUP(A7,UNIDADES[UNIDADE],UNIDADES[POSICAO NORTE/SUL]) &amp; " " &amp; _xlfn.XLOOKUP(A7,UNIDADES[UNIDADE],UNIDADES[POSICAO INTERNO/EXTERNO]))</f>
        <v>NORTE INTERNO</v>
      </c>
      <c r="C7" s="2">
        <f>_xlfn.XLOOKUP(A7,UNIDADES[UNIDADE],UNIDADES[AREA PADRAO])</f>
        <v>73.769100000000293</v>
      </c>
      <c r="D7" s="2">
        <f>_xlfn.XLOOKUP(A7,UNIDADES[UNIDADE],UNIDADES[AREA TERRACO])</f>
        <v>34.416399999999499</v>
      </c>
      <c r="E7" s="1">
        <f>_xlfn.XLOOKUP(A7,UNIDADES[UNIDADE],UNIDADES[AREA CALCULO DE PRECO])</f>
        <v>90.977300000000042</v>
      </c>
      <c r="F7" s="2">
        <f>F2*0.95</f>
        <v>95</v>
      </c>
      <c r="G7" s="8">
        <f t="shared" si="0"/>
        <v>5.9259395762267034E-3</v>
      </c>
      <c r="H7" s="9">
        <f t="shared" si="1"/>
        <v>973106.31572639965</v>
      </c>
      <c r="I7" s="3">
        <f t="shared" si="2"/>
        <v>97310.631572639977</v>
      </c>
      <c r="J7" s="3">
        <f t="shared" si="3"/>
        <v>4678.3957486846139</v>
      </c>
      <c r="K7" s="3">
        <f t="shared" si="4"/>
        <v>27803.037592182849</v>
      </c>
      <c r="L7" s="3">
        <f t="shared" si="5"/>
        <v>437897.84207687987</v>
      </c>
      <c r="M7" s="3" t="s">
        <v>386</v>
      </c>
      <c r="N7" s="5">
        <f t="shared" si="7"/>
        <v>10696.144156030121</v>
      </c>
    </row>
    <row r="8" spans="1:16" x14ac:dyDescent="0.4">
      <c r="A8" t="s">
        <v>221</v>
      </c>
      <c r="B8" t="str">
        <f>TRIM(_xlfn.XLOOKUP(A8,UNIDADES[UNIDADE],UNIDADES[POSICAO NASCENTE/POENTE]) &amp; " " &amp; _xlfn.XLOOKUP(A8,UNIDADES[UNIDADE],UNIDADES[POSICAO NORTE/SUL]) &amp; " " &amp; _xlfn.XLOOKUP(A8,UNIDADES[UNIDADE],UNIDADES[POSICAO INTERNO/EXTERNO]))</f>
        <v>NASCENTE NORTE INTERNO</v>
      </c>
      <c r="C8" s="2">
        <f>_xlfn.XLOOKUP(A8,UNIDADES[UNIDADE],UNIDADES[AREA PADRAO])</f>
        <v>107.332157496183</v>
      </c>
      <c r="D8" s="2">
        <f>_xlfn.XLOOKUP(A8,UNIDADES[UNIDADE],UNIDADES[AREA TERRACO])</f>
        <v>0</v>
      </c>
      <c r="E8" s="1">
        <f>_xlfn.XLOOKUP(A8,UNIDADES[UNIDADE],UNIDADES[AREA CALCULO DE PRECO])</f>
        <v>107.332157496183</v>
      </c>
      <c r="F8" s="2">
        <f>F2*1.1</f>
        <v>110.00000000000001</v>
      </c>
      <c r="G8" s="8">
        <f t="shared" si="0"/>
        <v>8.0951167043493387E-3</v>
      </c>
      <c r="H8" s="9">
        <f t="shared" si="1"/>
        <v>1329309.7390237818</v>
      </c>
      <c r="I8" s="3">
        <f t="shared" si="2"/>
        <v>132930.9739023782</v>
      </c>
      <c r="J8" s="3">
        <f t="shared" si="3"/>
        <v>6390.9122068451052</v>
      </c>
      <c r="K8" s="3">
        <f t="shared" si="4"/>
        <v>37980.278257822341</v>
      </c>
      <c r="L8" s="3">
        <f t="shared" si="5"/>
        <v>598189.38256070181</v>
      </c>
      <c r="M8" s="3" t="s">
        <v>386</v>
      </c>
      <c r="N8" s="5">
        <f t="shared" si="7"/>
        <v>12385.009022771721</v>
      </c>
    </row>
    <row r="9" spans="1:16" x14ac:dyDescent="0.4">
      <c r="A9" t="s">
        <v>220</v>
      </c>
      <c r="B9" t="str">
        <f>TRIM(_xlfn.XLOOKUP(A9,UNIDADES[UNIDADE],UNIDADES[POSICAO NASCENTE/POENTE]) &amp; " " &amp; _xlfn.XLOOKUP(A9,UNIDADES[UNIDADE],UNIDADES[POSICAO NORTE/SUL]) &amp; " " &amp; _xlfn.XLOOKUP(A9,UNIDADES[UNIDADE],UNIDADES[POSICAO INTERNO/EXTERNO]))</f>
        <v>NASCENTE SUL EXTERNO</v>
      </c>
      <c r="C9" s="2">
        <f>_xlfn.XLOOKUP(A9,UNIDADES[UNIDADE],UNIDADES[AREA PADRAO])</f>
        <v>107.332157496183</v>
      </c>
      <c r="D9" s="2">
        <f>_xlfn.XLOOKUP(A9,UNIDADES[UNIDADE],UNIDADES[AREA TERRACO])</f>
        <v>0</v>
      </c>
      <c r="E9" s="1">
        <f>_xlfn.XLOOKUP(A9,UNIDADES[UNIDADE],UNIDADES[AREA CALCULO DE PRECO])</f>
        <v>107.332157496183</v>
      </c>
      <c r="F9" s="2">
        <f>F8</f>
        <v>110.00000000000001</v>
      </c>
      <c r="G9" s="8">
        <f t="shared" si="0"/>
        <v>8.0951167043493387E-3</v>
      </c>
      <c r="H9" s="9">
        <f t="shared" si="1"/>
        <v>1329309.7390237818</v>
      </c>
      <c r="I9" s="3">
        <f t="shared" si="2"/>
        <v>132930.9739023782</v>
      </c>
      <c r="J9" s="3">
        <f t="shared" si="3"/>
        <v>6390.9122068451052</v>
      </c>
      <c r="K9" s="3">
        <f t="shared" si="4"/>
        <v>37980.278257822341</v>
      </c>
      <c r="L9" s="3">
        <f t="shared" si="5"/>
        <v>598189.38256070181</v>
      </c>
      <c r="M9" s="3" t="s">
        <v>386</v>
      </c>
      <c r="N9" s="5">
        <f>H9/E9</f>
        <v>12385.009022771721</v>
      </c>
    </row>
    <row r="10" spans="1:16" x14ac:dyDescent="0.4">
      <c r="A10" t="s">
        <v>237</v>
      </c>
      <c r="B10" t="str">
        <f>TRIM(_xlfn.XLOOKUP(A10,UNIDADES[UNIDADE],UNIDADES[POSICAO NASCENTE/POENTE]) &amp; " " &amp; _xlfn.XLOOKUP(A10,UNIDADES[UNIDADE],UNIDADES[POSICAO NORTE/SUL]) &amp; " " &amp; _xlfn.XLOOKUP(A10,UNIDADES[UNIDADE],UNIDADES[POSICAO INTERNO/EXTERNO]))</f>
        <v>SUL EXTERNO</v>
      </c>
      <c r="C10" s="2">
        <f>_xlfn.XLOOKUP(A10,UNIDADES[UNIDADE],UNIDADES[AREA PADRAO])</f>
        <v>73.207900000000393</v>
      </c>
      <c r="D10" s="2">
        <f>_xlfn.XLOOKUP(A10,UNIDADES[UNIDADE],UNIDADES[AREA TERRACO])</f>
        <v>0</v>
      </c>
      <c r="E10" s="1">
        <f>_xlfn.XLOOKUP(A10,UNIDADES[UNIDADE],UNIDADES[AREA CALCULO DE PRECO])</f>
        <v>73.207900000000393</v>
      </c>
      <c r="F10" s="2">
        <f>F8*0.85</f>
        <v>93.500000000000014</v>
      </c>
      <c r="G10" s="8">
        <f t="shared" si="0"/>
        <v>4.6932115388736333E-3</v>
      </c>
      <c r="H10" s="9">
        <f t="shared" si="1"/>
        <v>770678.4267324484</v>
      </c>
      <c r="I10" s="3">
        <f t="shared" si="2"/>
        <v>77067.842673244842</v>
      </c>
      <c r="J10" s="3">
        <f t="shared" si="3"/>
        <v>3705.184743906002</v>
      </c>
      <c r="K10" s="3">
        <f t="shared" si="4"/>
        <v>22019.383620927099</v>
      </c>
      <c r="L10" s="3">
        <f t="shared" si="5"/>
        <v>346805.29202960181</v>
      </c>
      <c r="M10" s="3" t="s">
        <v>386</v>
      </c>
      <c r="N10" s="5">
        <f t="shared" ref="N10:N73" si="8">H10/E10</f>
        <v>10527.25766935596</v>
      </c>
    </row>
    <row r="11" spans="1:16" x14ac:dyDescent="0.4">
      <c r="A11" t="s">
        <v>238</v>
      </c>
      <c r="B11" t="str">
        <f>TRIM(_xlfn.XLOOKUP(A11,UNIDADES[UNIDADE],UNIDADES[POSICAO NASCENTE/POENTE]) &amp; " " &amp; _xlfn.XLOOKUP(A11,UNIDADES[UNIDADE],UNIDADES[POSICAO NORTE/SUL]) &amp; " " &amp; _xlfn.XLOOKUP(A11,UNIDADES[UNIDADE],UNIDADES[POSICAO INTERNO/EXTERNO]))</f>
        <v>POENTE SUL EXTERNO</v>
      </c>
      <c r="C11" s="2">
        <f>_xlfn.XLOOKUP(A11,UNIDADES[UNIDADE],UNIDADES[AREA PADRAO])</f>
        <v>83.711328110599297</v>
      </c>
      <c r="D11" s="2">
        <f>_xlfn.XLOOKUP(A11,UNIDADES[UNIDADE],UNIDADES[AREA TERRACO])</f>
        <v>0</v>
      </c>
      <c r="E11" s="1">
        <f>_xlfn.XLOOKUP(A11,UNIDADES[UNIDADE],UNIDADES[AREA CALCULO DE PRECO])</f>
        <v>83.711328110599297</v>
      </c>
      <c r="F11" s="2">
        <f>F8*0.85</f>
        <v>93.500000000000014</v>
      </c>
      <c r="G11" s="8">
        <f t="shared" si="0"/>
        <v>5.366565234395459E-3</v>
      </c>
      <c r="H11" s="9">
        <f t="shared" si="1"/>
        <v>881250.72086427978</v>
      </c>
      <c r="I11" s="3">
        <f t="shared" si="2"/>
        <v>88125.072086427987</v>
      </c>
      <c r="J11" s="3">
        <f t="shared" si="3"/>
        <v>4236.7823118474989</v>
      </c>
      <c r="K11" s="3">
        <f t="shared" si="4"/>
        <v>25178.592024693709</v>
      </c>
      <c r="L11" s="3">
        <f t="shared" si="5"/>
        <v>396562.82438892592</v>
      </c>
      <c r="M11" s="3" t="s">
        <v>386</v>
      </c>
      <c r="N11" s="5">
        <f t="shared" si="8"/>
        <v>10527.257669355962</v>
      </c>
    </row>
    <row r="12" spans="1:16" x14ac:dyDescent="0.4">
      <c r="A12" t="s">
        <v>239</v>
      </c>
      <c r="B12" t="str">
        <f>TRIM(_xlfn.XLOOKUP(A12,UNIDADES[UNIDADE],UNIDADES[POSICAO NASCENTE/POENTE]) &amp; " " &amp; _xlfn.XLOOKUP(A12,UNIDADES[UNIDADE],UNIDADES[POSICAO NORTE/SUL]) &amp; " " &amp; _xlfn.XLOOKUP(A12,UNIDADES[UNIDADE],UNIDADES[POSICAO INTERNO/EXTERNO]))</f>
        <v>POENTE NORTE INTERNO</v>
      </c>
      <c r="C12" s="2">
        <f>_xlfn.XLOOKUP(A12,UNIDADES[UNIDADE],UNIDADES[AREA PADRAO])</f>
        <v>53.910100000003084</v>
      </c>
      <c r="D12" s="2">
        <f>_xlfn.XLOOKUP(A12,UNIDADES[UNIDADE],UNIDADES[AREA TERRACO])</f>
        <v>0</v>
      </c>
      <c r="E12" s="1">
        <f>_xlfn.XLOOKUP(A12,UNIDADES[UNIDADE],UNIDADES[AREA CALCULO DE PRECO])</f>
        <v>53.910100000003084</v>
      </c>
      <c r="F12" s="2">
        <f>F8*0.95</f>
        <v>104.50000000000001</v>
      </c>
      <c r="G12" s="8">
        <f t="shared" si="0"/>
        <v>3.862664584057705E-3</v>
      </c>
      <c r="H12" s="9">
        <f t="shared" si="1"/>
        <v>634293.22117263568</v>
      </c>
      <c r="I12" s="3">
        <f t="shared" si="2"/>
        <v>63429.322117263568</v>
      </c>
      <c r="J12" s="3">
        <f t="shared" si="3"/>
        <v>3049.4866402530561</v>
      </c>
      <c r="K12" s="3">
        <f t="shared" si="4"/>
        <v>18122.663462075307</v>
      </c>
      <c r="L12" s="3">
        <f t="shared" si="5"/>
        <v>285431.94952768605</v>
      </c>
      <c r="M12" s="3" t="s">
        <v>386</v>
      </c>
      <c r="N12" s="5">
        <f t="shared" si="8"/>
        <v>11765.758571633134</v>
      </c>
    </row>
    <row r="13" spans="1:16" x14ac:dyDescent="0.4">
      <c r="A13" t="s">
        <v>240</v>
      </c>
      <c r="B13" t="str">
        <f>TRIM(_xlfn.XLOOKUP(A13,UNIDADES[UNIDADE],UNIDADES[POSICAO NASCENTE/POENTE]) &amp; " " &amp; _xlfn.XLOOKUP(A13,UNIDADES[UNIDADE],UNIDADES[POSICAO NORTE/SUL]) &amp; " " &amp; _xlfn.XLOOKUP(A13,UNIDADES[UNIDADE],UNIDADES[POSICAO INTERNO/EXTERNO]))</f>
        <v>NORTE INTERNO</v>
      </c>
      <c r="C13" s="2">
        <f>_xlfn.XLOOKUP(A13,UNIDADES[UNIDADE],UNIDADES[AREA PADRAO])</f>
        <v>74.148600001545901</v>
      </c>
      <c r="D13" s="2">
        <f>_xlfn.XLOOKUP(A13,UNIDADES[UNIDADE],UNIDADES[AREA TERRACO])</f>
        <v>0</v>
      </c>
      <c r="E13" s="1">
        <f>_xlfn.XLOOKUP(A13,UNIDADES[UNIDADE],UNIDADES[AREA CALCULO DE PRECO])</f>
        <v>74.148600001545901</v>
      </c>
      <c r="F13" s="2">
        <f>F8*0.95</f>
        <v>104.50000000000001</v>
      </c>
      <c r="G13" s="8">
        <f t="shared" si="0"/>
        <v>5.3127553312536258E-3</v>
      </c>
      <c r="H13" s="9">
        <f t="shared" si="1"/>
        <v>872414.52604278538</v>
      </c>
      <c r="I13" s="3">
        <f t="shared" si="2"/>
        <v>87241.452604278544</v>
      </c>
      <c r="J13" s="3">
        <f t="shared" si="3"/>
        <v>4194.3006059749296</v>
      </c>
      <c r="K13" s="3">
        <f t="shared" si="4"/>
        <v>24926.129315508155</v>
      </c>
      <c r="L13" s="3">
        <f t="shared" si="5"/>
        <v>392586.5367192534</v>
      </c>
      <c r="M13" s="3" t="s">
        <v>386</v>
      </c>
      <c r="N13" s="5">
        <f t="shared" si="8"/>
        <v>11765.758571633136</v>
      </c>
    </row>
    <row r="14" spans="1:16" x14ac:dyDescent="0.4">
      <c r="A14" t="s">
        <v>241</v>
      </c>
      <c r="B14" t="str">
        <f>TRIM(_xlfn.XLOOKUP(A14,UNIDADES[UNIDADE],UNIDADES[POSICAO NASCENTE/POENTE]) &amp; " " &amp; _xlfn.XLOOKUP(A14,UNIDADES[UNIDADE],UNIDADES[POSICAO NORTE/SUL]) &amp; " " &amp; _xlfn.XLOOKUP(A14,UNIDADES[UNIDADE],UNIDADES[POSICAO INTERNO/EXTERNO]))</f>
        <v>NASCENTE NORTE INTERNO</v>
      </c>
      <c r="C14" s="2">
        <f>_xlfn.XLOOKUP(A14,UNIDADES[UNIDADE],UNIDADES[AREA PADRAO])</f>
        <v>107.136857496183</v>
      </c>
      <c r="D14" s="2">
        <f>_xlfn.XLOOKUP(A14,UNIDADES[UNIDADE],UNIDADES[AREA TERRACO])</f>
        <v>0</v>
      </c>
      <c r="E14" s="1">
        <f>_xlfn.XLOOKUP(A14,UNIDADES[UNIDADE],UNIDADES[AREA CALCULO DE PRECO])</f>
        <v>107.136857496183</v>
      </c>
      <c r="F14" s="2">
        <f>F8*1.05</f>
        <v>115.50000000000001</v>
      </c>
      <c r="G14" s="8">
        <f t="shared" si="0"/>
        <v>8.4844062977088002E-3</v>
      </c>
      <c r="H14" s="9">
        <f t="shared" si="1"/>
        <v>1393235.494099716</v>
      </c>
      <c r="I14" s="3">
        <f t="shared" si="2"/>
        <v>139323.5494099716</v>
      </c>
      <c r="J14" s="3">
        <f t="shared" si="3"/>
        <v>6698.2475677870962</v>
      </c>
      <c r="K14" s="3">
        <f t="shared" si="4"/>
        <v>39806.728402849032</v>
      </c>
      <c r="L14" s="3">
        <f t="shared" si="5"/>
        <v>626955.97234487219</v>
      </c>
      <c r="M14" s="3" t="s">
        <v>386</v>
      </c>
      <c r="N14" s="5">
        <f t="shared" si="8"/>
        <v>13004.259473910304</v>
      </c>
    </row>
    <row r="15" spans="1:16" x14ac:dyDescent="0.4">
      <c r="A15" t="s">
        <v>242</v>
      </c>
      <c r="B15" t="str">
        <f>TRIM(_xlfn.XLOOKUP(A15,UNIDADES[UNIDADE],UNIDADES[POSICAO NASCENTE/POENTE]) &amp; " " &amp; _xlfn.XLOOKUP(A15,UNIDADES[UNIDADE],UNIDADES[POSICAO NORTE/SUL]) &amp; " " &amp; _xlfn.XLOOKUP(A15,UNIDADES[UNIDADE],UNIDADES[POSICAO INTERNO/EXTERNO]))</f>
        <v>NASCENTE SUL EXTERNO</v>
      </c>
      <c r="C15" s="2">
        <f>_xlfn.XLOOKUP(A15,UNIDADES[UNIDADE],UNIDADES[AREA PADRAO])</f>
        <v>106.830057496183</v>
      </c>
      <c r="D15" s="2">
        <f>_xlfn.XLOOKUP(A15,UNIDADES[UNIDADE],UNIDADES[AREA TERRACO])</f>
        <v>0</v>
      </c>
      <c r="E15" s="1">
        <f>_xlfn.XLOOKUP(A15,UNIDADES[UNIDADE],UNIDADES[AREA CALCULO DE PRECO])</f>
        <v>106.830057496183</v>
      </c>
      <c r="F15" s="2">
        <f>F14</f>
        <v>115.50000000000001</v>
      </c>
      <c r="G15" s="8">
        <f t="shared" si="0"/>
        <v>8.4601101225831692E-3</v>
      </c>
      <c r="H15" s="9">
        <f t="shared" si="1"/>
        <v>1389245.7872931203</v>
      </c>
      <c r="I15" s="3">
        <f t="shared" si="2"/>
        <v>138924.57872931202</v>
      </c>
      <c r="J15" s="3">
        <f t="shared" si="3"/>
        <v>6679.0662850630779</v>
      </c>
      <c r="K15" s="3">
        <f t="shared" si="4"/>
        <v>39692.736779803432</v>
      </c>
      <c r="L15" s="3">
        <f t="shared" si="5"/>
        <v>625160.60428190418</v>
      </c>
      <c r="M15" s="3" t="s">
        <v>386</v>
      </c>
      <c r="N15" s="5">
        <f t="shared" si="8"/>
        <v>13004.259473910304</v>
      </c>
    </row>
    <row r="16" spans="1:16" x14ac:dyDescent="0.4">
      <c r="A16" t="s">
        <v>243</v>
      </c>
      <c r="B16" t="str">
        <f>TRIM(_xlfn.XLOOKUP(A16,UNIDADES[UNIDADE],UNIDADES[POSICAO NASCENTE/POENTE]) &amp; " " &amp; _xlfn.XLOOKUP(A16,UNIDADES[UNIDADE],UNIDADES[POSICAO NORTE/SUL]) &amp; " " &amp; _xlfn.XLOOKUP(A16,UNIDADES[UNIDADE],UNIDADES[POSICAO INTERNO/EXTERNO]))</f>
        <v>SUL EXTERNO</v>
      </c>
      <c r="C16" s="2">
        <f>_xlfn.XLOOKUP(A16,UNIDADES[UNIDADE],UNIDADES[AREA PADRAO])</f>
        <v>73.431622938558206</v>
      </c>
      <c r="D16" s="2">
        <f>_xlfn.XLOOKUP(A16,UNIDADES[UNIDADE],UNIDADES[AREA TERRACO])</f>
        <v>0</v>
      </c>
      <c r="E16" s="1">
        <f>_xlfn.XLOOKUP(A16,UNIDADES[UNIDADE],UNIDADES[AREA CALCULO DE PRECO])</f>
        <v>73.431622938558206</v>
      </c>
      <c r="F16" s="2">
        <f>F14*0.85</f>
        <v>98.175000000000011</v>
      </c>
      <c r="G16" s="8">
        <f t="shared" si="0"/>
        <v>4.9429316658192654E-3</v>
      </c>
      <c r="H16" s="9">
        <f t="shared" si="1"/>
        <v>811685.2965408517</v>
      </c>
      <c r="I16" s="3">
        <f t="shared" si="2"/>
        <v>81168.52965408517</v>
      </c>
      <c r="J16" s="3">
        <f t="shared" si="3"/>
        <v>3902.3331564464024</v>
      </c>
      <c r="K16" s="3">
        <f t="shared" si="4"/>
        <v>23191.008472595764</v>
      </c>
      <c r="L16" s="3">
        <f t="shared" si="5"/>
        <v>365258.38344338327</v>
      </c>
      <c r="M16" s="3" t="s">
        <v>386</v>
      </c>
      <c r="N16" s="5">
        <f t="shared" si="8"/>
        <v>11053.620552823761</v>
      </c>
    </row>
    <row r="17" spans="1:17" x14ac:dyDescent="0.4">
      <c r="A17" t="s">
        <v>244</v>
      </c>
      <c r="B17" t="str">
        <f>TRIM(_xlfn.XLOOKUP(A17,UNIDADES[UNIDADE],UNIDADES[POSICAO NASCENTE/POENTE]) &amp; " " &amp; _xlfn.XLOOKUP(A17,UNIDADES[UNIDADE],UNIDADES[POSICAO NORTE/SUL]) &amp; " " &amp; _xlfn.XLOOKUP(A17,UNIDADES[UNIDADE],UNIDADES[POSICAO INTERNO/EXTERNO]))</f>
        <v>POENTE SUL EXTERNO</v>
      </c>
      <c r="C17" s="2">
        <f>_xlfn.XLOOKUP(A17,UNIDADES[UNIDADE],UNIDADES[AREA PADRAO])</f>
        <v>83.928650000000104</v>
      </c>
      <c r="D17" s="2">
        <f>_xlfn.XLOOKUP(A17,UNIDADES[UNIDADE],UNIDADES[AREA TERRACO])</f>
        <v>0</v>
      </c>
      <c r="E17" s="1">
        <f>_xlfn.XLOOKUP(A17,UNIDADES[UNIDADE],UNIDADES[AREA CALCULO DE PRECO])</f>
        <v>83.928650000000104</v>
      </c>
      <c r="F17" s="2">
        <f>F14*0.85</f>
        <v>98.175000000000011</v>
      </c>
      <c r="G17" s="8">
        <f t="shared" si="0"/>
        <v>5.6495221697820761E-3</v>
      </c>
      <c r="H17" s="9">
        <f t="shared" si="1"/>
        <v>927715.45061075303</v>
      </c>
      <c r="I17" s="3">
        <f t="shared" si="2"/>
        <v>92771.545061075303</v>
      </c>
      <c r="J17" s="3">
        <f t="shared" si="3"/>
        <v>4460.17043562862</v>
      </c>
      <c r="K17" s="3">
        <f t="shared" si="4"/>
        <v>26506.155731735802</v>
      </c>
      <c r="L17" s="3">
        <f t="shared" si="5"/>
        <v>417471.95277483889</v>
      </c>
      <c r="M17" s="3" t="s">
        <v>386</v>
      </c>
      <c r="N17" s="5">
        <f t="shared" si="8"/>
        <v>11053.620552823761</v>
      </c>
    </row>
    <row r="18" spans="1:17" x14ac:dyDescent="0.4">
      <c r="A18" t="s">
        <v>253</v>
      </c>
      <c r="B18" t="str">
        <f>TRIM(_xlfn.XLOOKUP(A18,UNIDADES[UNIDADE],UNIDADES[POSICAO NASCENTE/POENTE]) &amp; " " &amp; _xlfn.XLOOKUP(A18,UNIDADES[UNIDADE],UNIDADES[POSICAO NORTE/SUL]) &amp; " " &amp; _xlfn.XLOOKUP(A18,UNIDADES[UNIDADE],UNIDADES[POSICAO INTERNO/EXTERNO]))</f>
        <v>POENTE NORTE INTERNO</v>
      </c>
      <c r="C18" s="2">
        <f>_xlfn.XLOOKUP(A18,UNIDADES[UNIDADE],UNIDADES[AREA PADRAO])</f>
        <v>50.736100000002203</v>
      </c>
      <c r="D18" s="2">
        <f>_xlfn.XLOOKUP(A18,UNIDADES[UNIDADE],UNIDADES[AREA TERRACO])</f>
        <v>0</v>
      </c>
      <c r="E18" s="1">
        <f>_xlfn.XLOOKUP(A18,UNIDADES[UNIDADE],UNIDADES[AREA CALCULO DE PRECO])</f>
        <v>50.736100000002203</v>
      </c>
      <c r="F18" s="2">
        <f>F14*0.95</f>
        <v>109.72500000000001</v>
      </c>
      <c r="G18" s="8">
        <f t="shared" si="0"/>
        <v>3.8170094923468479E-3</v>
      </c>
      <c r="H18" s="9">
        <f t="shared" si="1"/>
        <v>626796.13863957487</v>
      </c>
      <c r="I18" s="3">
        <f t="shared" si="2"/>
        <v>62679.613863957493</v>
      </c>
      <c r="J18" s="3">
        <f t="shared" si="3"/>
        <v>3013.4429742287252</v>
      </c>
      <c r="K18" s="3">
        <f t="shared" si="4"/>
        <v>17908.461103987855</v>
      </c>
      <c r="L18" s="3">
        <f t="shared" si="5"/>
        <v>282058.2623878087</v>
      </c>
      <c r="M18" s="3" t="s">
        <v>386</v>
      </c>
      <c r="N18" s="5">
        <f t="shared" si="8"/>
        <v>12354.04650021479</v>
      </c>
      <c r="P18" s="11">
        <v>6055191.2300000004</v>
      </c>
      <c r="Q18" s="11">
        <f>P18/P19</f>
        <v>12221.845692717585</v>
      </c>
    </row>
    <row r="19" spans="1:17" x14ac:dyDescent="0.4">
      <c r="A19" t="s">
        <v>254</v>
      </c>
      <c r="B19" t="str">
        <f>TRIM(_xlfn.XLOOKUP(A19,UNIDADES[UNIDADE],UNIDADES[POSICAO NASCENTE/POENTE]) &amp; " " &amp; _xlfn.XLOOKUP(A19,UNIDADES[UNIDADE],UNIDADES[POSICAO NORTE/SUL]) &amp; " " &amp; _xlfn.XLOOKUP(A19,UNIDADES[UNIDADE],UNIDADES[POSICAO INTERNO/EXTERNO]))</f>
        <v>NORTE INTERNO</v>
      </c>
      <c r="C19" s="2">
        <f>_xlfn.XLOOKUP(A19,UNIDADES[UNIDADE],UNIDADES[AREA PADRAO])</f>
        <v>73.377825001545801</v>
      </c>
      <c r="D19" s="2">
        <f>_xlfn.XLOOKUP(A19,UNIDADES[UNIDADE],UNIDADES[AREA TERRACO])</f>
        <v>0</v>
      </c>
      <c r="E19" s="1">
        <f>_xlfn.XLOOKUP(A19,UNIDADES[UNIDADE],UNIDADES[AREA CALCULO DE PRECO])</f>
        <v>73.377825001545801</v>
      </c>
      <c r="F19" s="2">
        <f>F14*0.95</f>
        <v>109.72500000000001</v>
      </c>
      <c r="G19" s="8">
        <f t="shared" si="0"/>
        <v>5.5204056787702249E-3</v>
      </c>
      <c r="H19" s="9">
        <f t="shared" si="1"/>
        <v>906513.06215372018</v>
      </c>
      <c r="I19" s="3">
        <f t="shared" si="2"/>
        <v>90651.306215372024</v>
      </c>
      <c r="J19" s="3">
        <f t="shared" si="3"/>
        <v>4358.2358757390393</v>
      </c>
      <c r="K19" s="3">
        <f t="shared" si="4"/>
        <v>25900.373204392006</v>
      </c>
      <c r="L19" s="3">
        <f t="shared" si="5"/>
        <v>407930.87796917406</v>
      </c>
      <c r="M19" s="3" t="s">
        <v>386</v>
      </c>
      <c r="N19" s="5">
        <f t="shared" si="8"/>
        <v>12354.04650021479</v>
      </c>
      <c r="P19">
        <v>495.44</v>
      </c>
    </row>
    <row r="20" spans="1:17" x14ac:dyDescent="0.4">
      <c r="A20" t="s">
        <v>255</v>
      </c>
      <c r="B20" t="str">
        <f>TRIM(_xlfn.XLOOKUP(A20,UNIDADES[UNIDADE],UNIDADES[POSICAO NASCENTE/POENTE]) &amp; " " &amp; _xlfn.XLOOKUP(A20,UNIDADES[UNIDADE],UNIDADES[POSICAO NORTE/SUL]) &amp; " " &amp; _xlfn.XLOOKUP(A20,UNIDADES[UNIDADE],UNIDADES[POSICAO INTERNO/EXTERNO]))</f>
        <v>NASCENTE NORTE INTERNO</v>
      </c>
      <c r="C20" s="2">
        <f>_xlfn.XLOOKUP(A20,UNIDADES[UNIDADE],UNIDADES[AREA PADRAO])</f>
        <v>107.332157496183</v>
      </c>
      <c r="D20" s="2">
        <f>_xlfn.XLOOKUP(A20,UNIDADES[UNIDADE],UNIDADES[AREA TERRACO])</f>
        <v>0</v>
      </c>
      <c r="E20" s="1">
        <f>_xlfn.XLOOKUP(A20,UNIDADES[UNIDADE],UNIDADES[AREA CALCULO DE PRECO])</f>
        <v>107.332157496183</v>
      </c>
      <c r="F20" s="2">
        <f>F14*1.04</f>
        <v>120.12000000000002</v>
      </c>
      <c r="G20" s="8">
        <f t="shared" si="0"/>
        <v>8.8398674411494776E-3</v>
      </c>
      <c r="H20" s="9">
        <f t="shared" si="1"/>
        <v>1451606.2350139697</v>
      </c>
      <c r="I20" s="3">
        <f t="shared" si="2"/>
        <v>145160.62350139697</v>
      </c>
      <c r="J20" s="3">
        <f t="shared" si="3"/>
        <v>6978.8761298748541</v>
      </c>
      <c r="K20" s="3">
        <f t="shared" si="4"/>
        <v>41474.463857541989</v>
      </c>
      <c r="L20" s="3">
        <f t="shared" si="5"/>
        <v>653222.80575628637</v>
      </c>
      <c r="M20" s="3" t="s">
        <v>386</v>
      </c>
      <c r="N20" s="5">
        <f t="shared" si="8"/>
        <v>13524.429852866719</v>
      </c>
    </row>
    <row r="21" spans="1:17" x14ac:dyDescent="0.4">
      <c r="A21" t="s">
        <v>256</v>
      </c>
      <c r="B21" t="str">
        <f>TRIM(_xlfn.XLOOKUP(A21,UNIDADES[UNIDADE],UNIDADES[POSICAO NASCENTE/POENTE]) &amp; " " &amp; _xlfn.XLOOKUP(A21,UNIDADES[UNIDADE],UNIDADES[POSICAO NORTE/SUL]) &amp; " " &amp; _xlfn.XLOOKUP(A21,UNIDADES[UNIDADE],UNIDADES[POSICAO INTERNO/EXTERNO]))</f>
        <v>NASCENTE SUL EXTERNO</v>
      </c>
      <c r="C21" s="2">
        <f>_xlfn.XLOOKUP(A21,UNIDADES[UNIDADE],UNIDADES[AREA PADRAO])</f>
        <v>107.332157496183</v>
      </c>
      <c r="D21" s="2">
        <f>_xlfn.XLOOKUP(A21,UNIDADES[UNIDADE],UNIDADES[AREA TERRACO])</f>
        <v>0</v>
      </c>
      <c r="E21" s="1">
        <f>_xlfn.XLOOKUP(A21,UNIDADES[UNIDADE],UNIDADES[AREA CALCULO DE PRECO])</f>
        <v>107.332157496183</v>
      </c>
      <c r="F21" s="2">
        <f>F20</f>
        <v>120.12000000000002</v>
      </c>
      <c r="G21" s="8">
        <f t="shared" si="0"/>
        <v>8.8398674411494776E-3</v>
      </c>
      <c r="H21" s="9">
        <f t="shared" si="1"/>
        <v>1451606.2350139697</v>
      </c>
      <c r="I21" s="3">
        <f t="shared" si="2"/>
        <v>145160.62350139697</v>
      </c>
      <c r="J21" s="3">
        <f t="shared" si="3"/>
        <v>6978.8761298748541</v>
      </c>
      <c r="K21" s="3">
        <f t="shared" si="4"/>
        <v>41474.463857541989</v>
      </c>
      <c r="L21" s="3">
        <f t="shared" si="5"/>
        <v>653222.80575628637</v>
      </c>
      <c r="M21" s="3" t="s">
        <v>386</v>
      </c>
      <c r="N21" s="5">
        <f t="shared" si="8"/>
        <v>13524.429852866719</v>
      </c>
    </row>
    <row r="22" spans="1:17" x14ac:dyDescent="0.4">
      <c r="A22" t="s">
        <v>257</v>
      </c>
      <c r="B22" t="str">
        <f>TRIM(_xlfn.XLOOKUP(A22,UNIDADES[UNIDADE],UNIDADES[POSICAO NASCENTE/POENTE]) &amp; " " &amp; _xlfn.XLOOKUP(A22,UNIDADES[UNIDADE],UNIDADES[POSICAO NORTE/SUL]) &amp; " " &amp; _xlfn.XLOOKUP(A22,UNIDADES[UNIDADE],UNIDADES[POSICAO INTERNO/EXTERNO]))</f>
        <v>SUL EXTERNO</v>
      </c>
      <c r="C22" s="2">
        <f>_xlfn.XLOOKUP(A22,UNIDADES[UNIDADE],UNIDADES[AREA PADRAO])</f>
        <v>73.207900000000393</v>
      </c>
      <c r="D22" s="2">
        <f>_xlfn.XLOOKUP(A22,UNIDADES[UNIDADE],UNIDADES[AREA TERRACO])</f>
        <v>0</v>
      </c>
      <c r="E22" s="1">
        <f>_xlfn.XLOOKUP(A22,UNIDADES[UNIDADE],UNIDADES[AREA CALCULO DE PRECO])</f>
        <v>73.207900000000393</v>
      </c>
      <c r="F22" s="2">
        <f>F20*0.9</f>
        <v>108.10800000000002</v>
      </c>
      <c r="G22" s="8">
        <f t="shared" si="0"/>
        <v>5.4264568240058909E-3</v>
      </c>
      <c r="H22" s="9">
        <f t="shared" si="1"/>
        <v>891085.59740311804</v>
      </c>
      <c r="I22" s="3">
        <f t="shared" si="2"/>
        <v>89108.559740311815</v>
      </c>
      <c r="J22" s="3">
        <f t="shared" si="3"/>
        <v>4284.0653721303752</v>
      </c>
      <c r="K22" s="3">
        <f t="shared" si="4"/>
        <v>25459.588497231947</v>
      </c>
      <c r="L22" s="3">
        <f t="shared" si="5"/>
        <v>400988.51883140311</v>
      </c>
      <c r="M22" s="3" t="s">
        <v>386</v>
      </c>
      <c r="N22" s="5">
        <f t="shared" si="8"/>
        <v>12171.986867580046</v>
      </c>
    </row>
    <row r="23" spans="1:17" x14ac:dyDescent="0.4">
      <c r="A23" t="s">
        <v>258</v>
      </c>
      <c r="B23" t="str">
        <f>TRIM(_xlfn.XLOOKUP(A23,UNIDADES[UNIDADE],UNIDADES[POSICAO NASCENTE/POENTE]) &amp; " " &amp; _xlfn.XLOOKUP(A23,UNIDADES[UNIDADE],UNIDADES[POSICAO NORTE/SUL]) &amp; " " &amp; _xlfn.XLOOKUP(A23,UNIDADES[UNIDADE],UNIDADES[POSICAO INTERNO/EXTERNO]))</f>
        <v>POENTE SUL EXTERNO</v>
      </c>
      <c r="C23" s="2">
        <f>_xlfn.XLOOKUP(A23,UNIDADES[UNIDADE],UNIDADES[AREA PADRAO])</f>
        <v>83.711328110599297</v>
      </c>
      <c r="D23" s="2">
        <f>_xlfn.XLOOKUP(A23,UNIDADES[UNIDADE],UNIDADES[AREA TERRACO])</f>
        <v>0</v>
      </c>
      <c r="E23" s="1">
        <f>_xlfn.XLOOKUP(A23,UNIDADES[UNIDADE],UNIDADES[AREA CALCULO DE PRECO])</f>
        <v>83.711328110599297</v>
      </c>
      <c r="F23" s="2">
        <f>F20*0.9</f>
        <v>108.10800000000002</v>
      </c>
      <c r="G23" s="8">
        <f t="shared" si="0"/>
        <v>6.2050121321927734E-3</v>
      </c>
      <c r="H23" s="9">
        <f t="shared" si="1"/>
        <v>1018933.1864298992</v>
      </c>
      <c r="I23" s="3">
        <f t="shared" si="2"/>
        <v>101893.31864298992</v>
      </c>
      <c r="J23" s="3">
        <f t="shared" si="3"/>
        <v>4898.7172424514383</v>
      </c>
      <c r="K23" s="3">
        <f t="shared" si="4"/>
        <v>29112.376755139976</v>
      </c>
      <c r="L23" s="3">
        <f t="shared" si="5"/>
        <v>458519.93389345467</v>
      </c>
      <c r="M23" s="3" t="s">
        <v>386</v>
      </c>
      <c r="N23" s="5">
        <f t="shared" si="8"/>
        <v>12171.986867580048</v>
      </c>
    </row>
    <row r="24" spans="1:17" x14ac:dyDescent="0.4">
      <c r="A24" t="s">
        <v>259</v>
      </c>
      <c r="B24" t="str">
        <f>TRIM(_xlfn.XLOOKUP(A24,UNIDADES[UNIDADE],UNIDADES[POSICAO NASCENTE/POENTE]) &amp; " " &amp; _xlfn.XLOOKUP(A24,UNIDADES[UNIDADE],UNIDADES[POSICAO NORTE/SUL]) &amp; " " &amp; _xlfn.XLOOKUP(A24,UNIDADES[UNIDADE],UNIDADES[POSICAO INTERNO/EXTERNO]))</f>
        <v>POENTE NORTE INTERNO</v>
      </c>
      <c r="C24" s="2">
        <f>_xlfn.XLOOKUP(A24,UNIDADES[UNIDADE],UNIDADES[AREA PADRAO])</f>
        <v>53.910100000003084</v>
      </c>
      <c r="D24" s="2">
        <f>_xlfn.XLOOKUP(A24,UNIDADES[UNIDADE],UNIDADES[AREA TERRACO])</f>
        <v>0</v>
      </c>
      <c r="E24" s="1">
        <f>_xlfn.XLOOKUP(A24,UNIDADES[UNIDADE],UNIDADES[AREA CALCULO DE PRECO])</f>
        <v>53.910100000003084</v>
      </c>
      <c r="F24" s="2">
        <f>F20*0.95</f>
        <v>114.11400000000002</v>
      </c>
      <c r="G24" s="8">
        <f t="shared" si="0"/>
        <v>4.2180297257910148E-3</v>
      </c>
      <c r="H24" s="9">
        <f t="shared" si="1"/>
        <v>692648.19752051833</v>
      </c>
      <c r="I24" s="3">
        <f t="shared" si="2"/>
        <v>69264.81975205183</v>
      </c>
      <c r="J24" s="3">
        <f t="shared" si="3"/>
        <v>3330.0394111563382</v>
      </c>
      <c r="K24" s="3">
        <f t="shared" si="4"/>
        <v>19789.948500586237</v>
      </c>
      <c r="L24" s="3">
        <f t="shared" si="5"/>
        <v>311691.68888423324</v>
      </c>
      <c r="M24" s="3" t="s">
        <v>386</v>
      </c>
      <c r="N24" s="5">
        <f t="shared" si="8"/>
        <v>12848.208360223385</v>
      </c>
    </row>
    <row r="25" spans="1:17" x14ac:dyDescent="0.4">
      <c r="A25" t="s">
        <v>260</v>
      </c>
      <c r="B25" t="str">
        <f>TRIM(_xlfn.XLOOKUP(A25,UNIDADES[UNIDADE],UNIDADES[POSICAO NASCENTE/POENTE]) &amp; " " &amp; _xlfn.XLOOKUP(A25,UNIDADES[UNIDADE],UNIDADES[POSICAO NORTE/SUL]) &amp; " " &amp; _xlfn.XLOOKUP(A25,UNIDADES[UNIDADE],UNIDADES[POSICAO INTERNO/EXTERNO]))</f>
        <v>NORTE INTERNO</v>
      </c>
      <c r="C25" s="2">
        <f>_xlfn.XLOOKUP(A25,UNIDADES[UNIDADE],UNIDADES[AREA PADRAO])</f>
        <v>74.148600001545901</v>
      </c>
      <c r="D25" s="2">
        <f>_xlfn.XLOOKUP(A25,UNIDADES[UNIDADE],UNIDADES[AREA TERRACO])</f>
        <v>0</v>
      </c>
      <c r="E25" s="1">
        <f>_xlfn.XLOOKUP(A25,UNIDADES[UNIDADE],UNIDADES[AREA CALCULO DE PRECO])</f>
        <v>74.148600001545901</v>
      </c>
      <c r="F25" s="2">
        <f>F20*0.95</f>
        <v>114.11400000000002</v>
      </c>
      <c r="G25" s="8">
        <f t="shared" si="0"/>
        <v>5.8015288217289594E-3</v>
      </c>
      <c r="H25" s="9">
        <f t="shared" si="1"/>
        <v>952676.66243872163</v>
      </c>
      <c r="I25" s="3">
        <f t="shared" si="2"/>
        <v>95267.666243872169</v>
      </c>
      <c r="J25" s="3">
        <f t="shared" si="3"/>
        <v>4580.1762617246231</v>
      </c>
      <c r="K25" s="3">
        <f t="shared" si="4"/>
        <v>27219.333212534904</v>
      </c>
      <c r="L25" s="3">
        <f t="shared" si="5"/>
        <v>428704.49809742474</v>
      </c>
      <c r="M25" s="3" t="s">
        <v>386</v>
      </c>
      <c r="N25" s="5">
        <f t="shared" si="8"/>
        <v>12848.208360223383</v>
      </c>
    </row>
    <row r="26" spans="1:17" x14ac:dyDescent="0.4">
      <c r="A26" t="s">
        <v>261</v>
      </c>
      <c r="B26" t="str">
        <f>TRIM(_xlfn.XLOOKUP(A26,UNIDADES[UNIDADE],UNIDADES[POSICAO NASCENTE/POENTE]) &amp; " " &amp; _xlfn.XLOOKUP(A26,UNIDADES[UNIDADE],UNIDADES[POSICAO NORTE/SUL]) &amp; " " &amp; _xlfn.XLOOKUP(A26,UNIDADES[UNIDADE],UNIDADES[POSICAO INTERNO/EXTERNO]))</f>
        <v>NASCENTE NORTE INTERNO</v>
      </c>
      <c r="C26" s="2">
        <f>_xlfn.XLOOKUP(A26,UNIDADES[UNIDADE],UNIDADES[AREA PADRAO])</f>
        <v>107.136857496183</v>
      </c>
      <c r="D26" s="2">
        <f>_xlfn.XLOOKUP(A26,UNIDADES[UNIDADE],UNIDADES[AREA TERRACO])</f>
        <v>0</v>
      </c>
      <c r="E26" s="1">
        <f>_xlfn.XLOOKUP(A26,UNIDADES[UNIDADE],UNIDADES[AREA CALCULO DE PRECO])</f>
        <v>107.136857496183</v>
      </c>
      <c r="F26" s="2">
        <f>F20*1.03</f>
        <v>123.72360000000002</v>
      </c>
      <c r="G26" s="8">
        <f t="shared" si="0"/>
        <v>9.0884960261056677E-3</v>
      </c>
      <c r="H26" s="9">
        <f t="shared" si="1"/>
        <v>1492433.8612796159</v>
      </c>
      <c r="I26" s="3">
        <f t="shared" si="2"/>
        <v>149243.3861279616</v>
      </c>
      <c r="J26" s="3">
        <f t="shared" si="3"/>
        <v>7175.1627946135377</v>
      </c>
      <c r="K26" s="3">
        <f t="shared" si="4"/>
        <v>42640.967465131886</v>
      </c>
      <c r="L26" s="3">
        <f t="shared" si="5"/>
        <v>671595.23757582717</v>
      </c>
      <c r="M26" s="3" t="s">
        <v>386</v>
      </c>
      <c r="N26" s="5">
        <f t="shared" si="8"/>
        <v>13930.16274845272</v>
      </c>
    </row>
    <row r="27" spans="1:17" x14ac:dyDescent="0.4">
      <c r="A27" t="s">
        <v>262</v>
      </c>
      <c r="B27" t="str">
        <f>TRIM(_xlfn.XLOOKUP(A27,UNIDADES[UNIDADE],UNIDADES[POSICAO NASCENTE/POENTE]) &amp; " " &amp; _xlfn.XLOOKUP(A27,UNIDADES[UNIDADE],UNIDADES[POSICAO NORTE/SUL]) &amp; " " &amp; _xlfn.XLOOKUP(A27,UNIDADES[UNIDADE],UNIDADES[POSICAO INTERNO/EXTERNO]))</f>
        <v>NASCENTE SUL EXTERNO</v>
      </c>
      <c r="C27" s="2">
        <f>_xlfn.XLOOKUP(A27,UNIDADES[UNIDADE],UNIDADES[AREA PADRAO])</f>
        <v>106.830057496183</v>
      </c>
      <c r="D27" s="2">
        <f>_xlfn.XLOOKUP(A27,UNIDADES[UNIDADE],UNIDADES[AREA TERRACO])</f>
        <v>0</v>
      </c>
      <c r="E27" s="1">
        <f>_xlfn.XLOOKUP(A27,UNIDADES[UNIDADE],UNIDADES[AREA CALCULO DE PRECO])</f>
        <v>106.830057496183</v>
      </c>
      <c r="F27" s="2">
        <f>F26</f>
        <v>123.72360000000002</v>
      </c>
      <c r="G27" s="8">
        <f t="shared" si="0"/>
        <v>9.0624699633110907E-3</v>
      </c>
      <c r="H27" s="9">
        <f t="shared" si="1"/>
        <v>1488160.0873483906</v>
      </c>
      <c r="I27" s="3">
        <f t="shared" si="2"/>
        <v>148816.00873483907</v>
      </c>
      <c r="J27" s="3">
        <f t="shared" si="3"/>
        <v>7154.6158045595703</v>
      </c>
      <c r="K27" s="3">
        <f t="shared" si="4"/>
        <v>42518.85963852545</v>
      </c>
      <c r="L27" s="3">
        <f t="shared" si="5"/>
        <v>669672.03930677578</v>
      </c>
      <c r="M27" s="3" t="s">
        <v>386</v>
      </c>
      <c r="N27" s="5">
        <f t="shared" si="8"/>
        <v>13930.16274845272</v>
      </c>
    </row>
    <row r="28" spans="1:17" x14ac:dyDescent="0.4">
      <c r="A28" t="s">
        <v>263</v>
      </c>
      <c r="B28" t="str">
        <f>TRIM(_xlfn.XLOOKUP(A28,UNIDADES[UNIDADE],UNIDADES[POSICAO NASCENTE/POENTE]) &amp; " " &amp; _xlfn.XLOOKUP(A28,UNIDADES[UNIDADE],UNIDADES[POSICAO NORTE/SUL]) &amp; " " &amp; _xlfn.XLOOKUP(A28,UNIDADES[UNIDADE],UNIDADES[POSICAO INTERNO/EXTERNO]))</f>
        <v>SUL EXTERNO</v>
      </c>
      <c r="C28" s="2">
        <f>_xlfn.XLOOKUP(A28,UNIDADES[UNIDADE],UNIDADES[AREA PADRAO])</f>
        <v>73.431622938558206</v>
      </c>
      <c r="D28" s="2">
        <f>_xlfn.XLOOKUP(A28,UNIDADES[UNIDADE],UNIDADES[AREA TERRACO])</f>
        <v>0</v>
      </c>
      <c r="E28" s="1">
        <f>_xlfn.XLOOKUP(A28,UNIDADES[UNIDADE],UNIDADES[AREA CALCULO DE PRECO])</f>
        <v>73.431622938558206</v>
      </c>
      <c r="F28" s="2">
        <f>F26*0.9</f>
        <v>111.35124000000002</v>
      </c>
      <c r="G28" s="8">
        <f t="shared" si="0"/>
        <v>5.6063312475094565E-3</v>
      </c>
      <c r="H28" s="9">
        <f t="shared" si="1"/>
        <v>920623.01257541694</v>
      </c>
      <c r="I28" s="3">
        <f t="shared" si="2"/>
        <v>92062.301257541694</v>
      </c>
      <c r="J28" s="3">
        <f t="shared" si="3"/>
        <v>4426.072175843351</v>
      </c>
      <c r="K28" s="3">
        <f t="shared" si="4"/>
        <v>26303.514645011914</v>
      </c>
      <c r="L28" s="3">
        <f t="shared" si="5"/>
        <v>414280.35565893765</v>
      </c>
      <c r="M28" s="3" t="s">
        <v>386</v>
      </c>
      <c r="N28" s="5">
        <f t="shared" si="8"/>
        <v>12537.14647360745</v>
      </c>
    </row>
    <row r="29" spans="1:17" x14ac:dyDescent="0.4">
      <c r="A29" t="s">
        <v>270</v>
      </c>
      <c r="B29" t="str">
        <f>TRIM(_xlfn.XLOOKUP(A29,UNIDADES[UNIDADE],UNIDADES[POSICAO NASCENTE/POENTE]) &amp; " " &amp; _xlfn.XLOOKUP(A29,UNIDADES[UNIDADE],UNIDADES[POSICAO NORTE/SUL]) &amp; " " &amp; _xlfn.XLOOKUP(A29,UNIDADES[UNIDADE],UNIDADES[POSICAO INTERNO/EXTERNO]))</f>
        <v>POENTE SUL EXTERNO</v>
      </c>
      <c r="C29" s="2">
        <f>_xlfn.XLOOKUP(A29,UNIDADES[UNIDADE],UNIDADES[AREA PADRAO])</f>
        <v>83.928650000000104</v>
      </c>
      <c r="D29" s="2">
        <f>_xlfn.XLOOKUP(A29,UNIDADES[UNIDADE],UNIDADES[AREA TERRACO])</f>
        <v>0</v>
      </c>
      <c r="E29" s="1">
        <f>_xlfn.XLOOKUP(A29,UNIDADES[UNIDADE],UNIDADES[AREA CALCULO DE PRECO])</f>
        <v>83.928650000000104</v>
      </c>
      <c r="F29" s="2">
        <f>F26*0.9</f>
        <v>111.35124000000002</v>
      </c>
      <c r="G29" s="8">
        <f t="shared" si="0"/>
        <v>6.4077545099335336E-3</v>
      </c>
      <c r="H29" s="9">
        <f t="shared" si="1"/>
        <v>1052225.7783821351</v>
      </c>
      <c r="I29" s="3">
        <f t="shared" si="2"/>
        <v>105222.57783821352</v>
      </c>
      <c r="J29" s="3">
        <f t="shared" si="3"/>
        <v>5058.7777806833419</v>
      </c>
      <c r="K29" s="3">
        <f t="shared" si="4"/>
        <v>30063.593668061007</v>
      </c>
      <c r="L29" s="3">
        <f t="shared" si="5"/>
        <v>473501.60027196078</v>
      </c>
      <c r="M29" s="3" t="s">
        <v>386</v>
      </c>
      <c r="N29" s="5">
        <f t="shared" si="8"/>
        <v>12537.146473607449</v>
      </c>
    </row>
    <row r="30" spans="1:17" x14ac:dyDescent="0.4">
      <c r="A30" t="s">
        <v>271</v>
      </c>
      <c r="B30" t="str">
        <f>TRIM(_xlfn.XLOOKUP(A30,UNIDADES[UNIDADE],UNIDADES[POSICAO NASCENTE/POENTE]) &amp; " " &amp; _xlfn.XLOOKUP(A30,UNIDADES[UNIDADE],UNIDADES[POSICAO NORTE/SUL]) &amp; " " &amp; _xlfn.XLOOKUP(A30,UNIDADES[UNIDADE],UNIDADES[POSICAO INTERNO/EXTERNO]))</f>
        <v>POENTE NORTE INTERNO</v>
      </c>
      <c r="C30" s="2">
        <f>_xlfn.XLOOKUP(A30,UNIDADES[UNIDADE],UNIDADES[AREA PADRAO])</f>
        <v>50.736100000002203</v>
      </c>
      <c r="D30" s="2">
        <f>_xlfn.XLOOKUP(A30,UNIDADES[UNIDADE],UNIDADES[AREA TERRACO])</f>
        <v>0</v>
      </c>
      <c r="E30" s="1">
        <f>_xlfn.XLOOKUP(A30,UNIDADES[UNIDADE],UNIDADES[AREA CALCULO DE PRECO])</f>
        <v>50.736100000002203</v>
      </c>
      <c r="F30" s="2">
        <f>F26*0.95</f>
        <v>117.53742000000001</v>
      </c>
      <c r="G30" s="8">
        <f t="shared" si="0"/>
        <v>4.088780568201944E-3</v>
      </c>
      <c r="H30" s="9">
        <f t="shared" si="1"/>
        <v>671424.02371071267</v>
      </c>
      <c r="I30" s="3">
        <f t="shared" si="2"/>
        <v>67142.402371071264</v>
      </c>
      <c r="J30" s="3">
        <f t="shared" si="3"/>
        <v>3228.0001139938108</v>
      </c>
      <c r="K30" s="3">
        <f t="shared" si="4"/>
        <v>19183.54353459179</v>
      </c>
      <c r="L30" s="3">
        <f t="shared" si="5"/>
        <v>302140.8106698207</v>
      </c>
      <c r="M30" s="3" t="s">
        <v>386</v>
      </c>
      <c r="N30" s="5">
        <f t="shared" si="8"/>
        <v>13233.654611030086</v>
      </c>
    </row>
    <row r="31" spans="1:17" x14ac:dyDescent="0.4">
      <c r="A31" t="s">
        <v>272</v>
      </c>
      <c r="B31" t="str">
        <f>TRIM(_xlfn.XLOOKUP(A31,UNIDADES[UNIDADE],UNIDADES[POSICAO NASCENTE/POENTE]) &amp; " " &amp; _xlfn.XLOOKUP(A31,UNIDADES[UNIDADE],UNIDADES[POSICAO NORTE/SUL]) &amp; " " &amp; _xlfn.XLOOKUP(A31,UNIDADES[UNIDADE],UNIDADES[POSICAO INTERNO/EXTERNO]))</f>
        <v>NORTE INTERNO</v>
      </c>
      <c r="C31" s="2">
        <f>_xlfn.XLOOKUP(A31,UNIDADES[UNIDADE],UNIDADES[AREA PADRAO])</f>
        <v>73.377825001545801</v>
      </c>
      <c r="D31" s="2">
        <f>_xlfn.XLOOKUP(A31,UNIDADES[UNIDADE],UNIDADES[AREA TERRACO])</f>
        <v>0</v>
      </c>
      <c r="E31" s="1">
        <f>_xlfn.XLOOKUP(A31,UNIDADES[UNIDADE],UNIDADES[AREA CALCULO DE PRECO])</f>
        <v>73.377825001545801</v>
      </c>
      <c r="F31" s="2">
        <f>F26*0.95</f>
        <v>117.53742000000001</v>
      </c>
      <c r="G31" s="8">
        <f t="shared" si="0"/>
        <v>5.9134585630986648E-3</v>
      </c>
      <c r="H31" s="9">
        <f t="shared" si="1"/>
        <v>971056.79217906506</v>
      </c>
      <c r="I31" s="3">
        <f t="shared" si="2"/>
        <v>97105.679217906509</v>
      </c>
      <c r="J31" s="3">
        <f t="shared" si="3"/>
        <v>4668.5422700916588</v>
      </c>
      <c r="K31" s="3">
        <f t="shared" si="4"/>
        <v>27744.479776544718</v>
      </c>
      <c r="L31" s="3">
        <f t="shared" si="5"/>
        <v>436975.55648057931</v>
      </c>
      <c r="M31" s="3" t="s">
        <v>386</v>
      </c>
      <c r="N31" s="5">
        <f t="shared" si="8"/>
        <v>13233.654611030082</v>
      </c>
    </row>
    <row r="32" spans="1:17" x14ac:dyDescent="0.4">
      <c r="A32" t="s">
        <v>276</v>
      </c>
      <c r="B32" t="str">
        <f>TRIM(_xlfn.XLOOKUP(A32,UNIDADES[UNIDADE],UNIDADES[POSICAO NASCENTE/POENTE]) &amp; " " &amp; _xlfn.XLOOKUP(A32,UNIDADES[UNIDADE],UNIDADES[POSICAO NORTE/SUL]) &amp; " " &amp; _xlfn.XLOOKUP(A32,UNIDADES[UNIDADE],UNIDADES[POSICAO INTERNO/EXTERNO]))</f>
        <v>NASCENTE NORTE INTERNO</v>
      </c>
      <c r="C32" s="2">
        <f>_xlfn.XLOOKUP(A32,UNIDADES[UNIDADE],UNIDADES[AREA PADRAO])</f>
        <v>107.332157496183</v>
      </c>
      <c r="D32" s="2">
        <f>_xlfn.XLOOKUP(A32,UNIDADES[UNIDADE],UNIDADES[AREA TERRACO])</f>
        <v>0</v>
      </c>
      <c r="E32" s="1">
        <f>_xlfn.XLOOKUP(A32,UNIDADES[UNIDADE],UNIDADES[AREA CALCULO DE PRECO])</f>
        <v>107.332157496183</v>
      </c>
      <c r="F32" s="2">
        <f>F26*1.02</f>
        <v>126.19807200000002</v>
      </c>
      <c r="G32" s="8">
        <f t="shared" si="0"/>
        <v>9.2871647336716413E-3</v>
      </c>
      <c r="H32" s="9">
        <f t="shared" si="1"/>
        <v>1525057.5105056765</v>
      </c>
      <c r="I32" s="3">
        <f t="shared" si="2"/>
        <v>152505.75105056766</v>
      </c>
      <c r="J32" s="3">
        <f t="shared" si="3"/>
        <v>7332.0072620465216</v>
      </c>
      <c r="K32" s="3">
        <f t="shared" si="4"/>
        <v>43573.071728733616</v>
      </c>
      <c r="L32" s="3">
        <f t="shared" si="5"/>
        <v>686275.87972755439</v>
      </c>
      <c r="M32" s="3" t="s">
        <v>386</v>
      </c>
      <c r="N32" s="5">
        <f t="shared" si="8"/>
        <v>14208.766003421773</v>
      </c>
    </row>
    <row r="33" spans="1:14" x14ac:dyDescent="0.4">
      <c r="A33" t="s">
        <v>275</v>
      </c>
      <c r="B33" t="str">
        <f>TRIM(_xlfn.XLOOKUP(A33,UNIDADES[UNIDADE],UNIDADES[POSICAO NASCENTE/POENTE]) &amp; " " &amp; _xlfn.XLOOKUP(A33,UNIDADES[UNIDADE],UNIDADES[POSICAO NORTE/SUL]) &amp; " " &amp; _xlfn.XLOOKUP(A33,UNIDADES[UNIDADE],UNIDADES[POSICAO INTERNO/EXTERNO]))</f>
        <v>NASCENTE SUL EXTERNO</v>
      </c>
      <c r="C33" s="2">
        <f>_xlfn.XLOOKUP(A33,UNIDADES[UNIDADE],UNIDADES[AREA PADRAO])</f>
        <v>107.332157496183</v>
      </c>
      <c r="D33" s="2">
        <f>_xlfn.XLOOKUP(A33,UNIDADES[UNIDADE],UNIDADES[AREA TERRACO])</f>
        <v>0</v>
      </c>
      <c r="E33" s="1">
        <f>_xlfn.XLOOKUP(A33,UNIDADES[UNIDADE],UNIDADES[AREA CALCULO DE PRECO])</f>
        <v>107.332157496183</v>
      </c>
      <c r="F33" s="2">
        <f>F32</f>
        <v>126.19807200000002</v>
      </c>
      <c r="G33" s="8">
        <f t="shared" si="0"/>
        <v>9.2871647336716413E-3</v>
      </c>
      <c r="H33" s="9">
        <f t="shared" si="1"/>
        <v>1525057.5105056765</v>
      </c>
      <c r="I33" s="3">
        <f t="shared" si="2"/>
        <v>152505.75105056766</v>
      </c>
      <c r="J33" s="3">
        <f t="shared" si="3"/>
        <v>7332.0072620465216</v>
      </c>
      <c r="K33" s="3">
        <f t="shared" si="4"/>
        <v>43573.071728733616</v>
      </c>
      <c r="L33" s="3">
        <f t="shared" si="5"/>
        <v>686275.87972755439</v>
      </c>
      <c r="M33" s="3" t="s">
        <v>386</v>
      </c>
      <c r="N33" s="5">
        <f t="shared" si="8"/>
        <v>14208.766003421773</v>
      </c>
    </row>
    <row r="34" spans="1:14" x14ac:dyDescent="0.4">
      <c r="A34" t="s">
        <v>274</v>
      </c>
      <c r="B34" t="str">
        <f>TRIM(_xlfn.XLOOKUP(A34,UNIDADES[UNIDADE],UNIDADES[POSICAO NASCENTE/POENTE]) &amp; " " &amp; _xlfn.XLOOKUP(A34,UNIDADES[UNIDADE],UNIDADES[POSICAO NORTE/SUL]) &amp; " " &amp; _xlfn.XLOOKUP(A34,UNIDADES[UNIDADE],UNIDADES[POSICAO INTERNO/EXTERNO]))</f>
        <v>SUL EXTERNO</v>
      </c>
      <c r="C34" s="2">
        <f>_xlfn.XLOOKUP(A34,UNIDADES[UNIDADE],UNIDADES[AREA PADRAO])</f>
        <v>73.207900000000393</v>
      </c>
      <c r="D34" s="2">
        <f>_xlfn.XLOOKUP(A34,UNIDADES[UNIDADE],UNIDADES[AREA TERRACO])</f>
        <v>0</v>
      </c>
      <c r="E34" s="1">
        <f>_xlfn.XLOOKUP(A34,UNIDADES[UNIDADE],UNIDADES[AREA CALCULO DE PRECO])</f>
        <v>73.207900000000393</v>
      </c>
      <c r="F34" s="2">
        <f>F32*0.9</f>
        <v>113.57826480000003</v>
      </c>
      <c r="G34" s="8">
        <f t="shared" ref="G34:G65" si="9">F34*E34/SUMPRODUCT(F:F,E:E)</f>
        <v>5.7010355393005896E-3</v>
      </c>
      <c r="H34" s="9">
        <f t="shared" ref="H34:H65" si="10">G34*$P$1</f>
        <v>936174.52863171592</v>
      </c>
      <c r="I34" s="3">
        <f t="shared" si="2"/>
        <v>93617.452863171595</v>
      </c>
      <c r="J34" s="3">
        <f t="shared" si="3"/>
        <v>4500.839079960173</v>
      </c>
      <c r="K34" s="3">
        <f t="shared" si="4"/>
        <v>26747.843675191885</v>
      </c>
      <c r="L34" s="3">
        <f t="shared" si="5"/>
        <v>421278.53788427217</v>
      </c>
      <c r="M34" s="3" t="s">
        <v>386</v>
      </c>
      <c r="N34" s="5">
        <f t="shared" si="8"/>
        <v>12787.889403079598</v>
      </c>
    </row>
    <row r="35" spans="1:14" x14ac:dyDescent="0.4">
      <c r="A35" t="s">
        <v>273</v>
      </c>
      <c r="B35" t="str">
        <f>TRIM(_xlfn.XLOOKUP(A35,UNIDADES[UNIDADE],UNIDADES[POSICAO NASCENTE/POENTE]) &amp; " " &amp; _xlfn.XLOOKUP(A35,UNIDADES[UNIDADE],UNIDADES[POSICAO NORTE/SUL]) &amp; " " &amp; _xlfn.XLOOKUP(A35,UNIDADES[UNIDADE],UNIDADES[POSICAO INTERNO/EXTERNO]))</f>
        <v>POENTE SUL EXTERNO</v>
      </c>
      <c r="C35" s="2">
        <f>_xlfn.XLOOKUP(A35,UNIDADES[UNIDADE],UNIDADES[AREA PADRAO])</f>
        <v>83.711328110599297</v>
      </c>
      <c r="D35" s="2">
        <f>_xlfn.XLOOKUP(A35,UNIDADES[UNIDADE],UNIDADES[AREA TERRACO])</f>
        <v>0</v>
      </c>
      <c r="E35" s="1">
        <f>_xlfn.XLOOKUP(A35,UNIDADES[UNIDADE],UNIDADES[AREA CALCULO DE PRECO])</f>
        <v>83.711328110599297</v>
      </c>
      <c r="F35" s="2">
        <f>F32*0.9</f>
        <v>113.57826480000003</v>
      </c>
      <c r="G35" s="8">
        <f t="shared" si="9"/>
        <v>6.5189857460817274E-3</v>
      </c>
      <c r="H35" s="9">
        <f t="shared" si="10"/>
        <v>1070491.2056632519</v>
      </c>
      <c r="I35" s="3">
        <f t="shared" si="2"/>
        <v>107049.1205663252</v>
      </c>
      <c r="J35" s="3">
        <f t="shared" si="3"/>
        <v>5146.59233491948</v>
      </c>
      <c r="K35" s="3">
        <f t="shared" si="4"/>
        <v>30585.463018950057</v>
      </c>
      <c r="L35" s="3">
        <f t="shared" si="5"/>
        <v>481721.04254846339</v>
      </c>
      <c r="M35" s="3" t="s">
        <v>386</v>
      </c>
      <c r="N35" s="5">
        <f t="shared" si="8"/>
        <v>12787.889403079596</v>
      </c>
    </row>
    <row r="36" spans="1:14" x14ac:dyDescent="0.4">
      <c r="A36" t="s">
        <v>251</v>
      </c>
      <c r="B36" t="str">
        <f>TRIM(_xlfn.XLOOKUP(A36,UNIDADES[UNIDADE],UNIDADES[POSICAO NASCENTE/POENTE]) &amp; " " &amp; _xlfn.XLOOKUP(A36,UNIDADES[UNIDADE],UNIDADES[POSICAO NORTE/SUL]) &amp; " " &amp; _xlfn.XLOOKUP(A36,UNIDADES[UNIDADE],UNIDADES[POSICAO INTERNO/EXTERNO]))</f>
        <v>POENTE NORTE INTERNO</v>
      </c>
      <c r="C36" s="2">
        <f>_xlfn.XLOOKUP(A36,UNIDADES[UNIDADE],UNIDADES[AREA PADRAO])</f>
        <v>53.910100000003084</v>
      </c>
      <c r="D36" s="2">
        <f>_xlfn.XLOOKUP(A36,UNIDADES[UNIDADE],UNIDADES[AREA TERRACO])</f>
        <v>0</v>
      </c>
      <c r="E36" s="1">
        <f>_xlfn.XLOOKUP(A36,UNIDADES[UNIDADE],UNIDADES[AREA CALCULO DE PRECO])</f>
        <v>53.910100000003084</v>
      </c>
      <c r="F36" s="2">
        <f>F32*0.95</f>
        <v>119.88816840000001</v>
      </c>
      <c r="G36" s="8">
        <f t="shared" si="9"/>
        <v>4.431462029916039E-3</v>
      </c>
      <c r="H36" s="9">
        <f t="shared" si="10"/>
        <v>727696.1963150563</v>
      </c>
      <c r="I36" s="3">
        <f t="shared" si="2"/>
        <v>72769.61963150563</v>
      </c>
      <c r="J36" s="3">
        <f t="shared" si="3"/>
        <v>3498.5394053608475</v>
      </c>
      <c r="K36" s="3">
        <f t="shared" si="4"/>
        <v>20791.319894715893</v>
      </c>
      <c r="L36" s="3">
        <f t="shared" si="5"/>
        <v>327463.28834177536</v>
      </c>
      <c r="M36" s="3" t="s">
        <v>386</v>
      </c>
      <c r="N36" s="5">
        <f t="shared" si="8"/>
        <v>13498.327703250683</v>
      </c>
    </row>
    <row r="37" spans="1:14" x14ac:dyDescent="0.4">
      <c r="A37" t="s">
        <v>252</v>
      </c>
      <c r="B37" t="str">
        <f>TRIM(_xlfn.XLOOKUP(A37,UNIDADES[UNIDADE],UNIDADES[POSICAO NASCENTE/POENTE]) &amp; " " &amp; _xlfn.XLOOKUP(A37,UNIDADES[UNIDADE],UNIDADES[POSICAO NORTE/SUL]) &amp; " " &amp; _xlfn.XLOOKUP(A37,UNIDADES[UNIDADE],UNIDADES[POSICAO INTERNO/EXTERNO]))</f>
        <v>NORTE INTERNO</v>
      </c>
      <c r="C37" s="2">
        <f>_xlfn.XLOOKUP(A37,UNIDADES[UNIDADE],UNIDADES[AREA PADRAO])</f>
        <v>74.148600001545901</v>
      </c>
      <c r="D37" s="2">
        <f>_xlfn.XLOOKUP(A37,UNIDADES[UNIDADE],UNIDADES[AREA TERRACO])</f>
        <v>0</v>
      </c>
      <c r="E37" s="1">
        <f>_xlfn.XLOOKUP(A37,UNIDADES[UNIDADE],UNIDADES[AREA CALCULO DE PRECO])</f>
        <v>74.148600001545901</v>
      </c>
      <c r="F37" s="2">
        <f>F32*0.95</f>
        <v>119.88816840000001</v>
      </c>
      <c r="G37" s="8">
        <f t="shared" si="9"/>
        <v>6.0950861801084442E-3</v>
      </c>
      <c r="H37" s="9">
        <f t="shared" si="10"/>
        <v>1000882.1015581208</v>
      </c>
      <c r="I37" s="3">
        <f t="shared" si="2"/>
        <v>100088.21015581209</v>
      </c>
      <c r="J37" s="3">
        <f t="shared" si="3"/>
        <v>4811.9331805678885</v>
      </c>
      <c r="K37" s="3">
        <f t="shared" si="4"/>
        <v>28596.631473089168</v>
      </c>
      <c r="L37" s="3">
        <f t="shared" si="5"/>
        <v>450396.94570115436</v>
      </c>
      <c r="M37" s="3" t="s">
        <v>386</v>
      </c>
      <c r="N37" s="5">
        <f t="shared" si="8"/>
        <v>13498.327703250685</v>
      </c>
    </row>
    <row r="38" spans="1:14" x14ac:dyDescent="0.4">
      <c r="A38" t="s">
        <v>285</v>
      </c>
      <c r="B38" t="str">
        <f>TRIM(_xlfn.XLOOKUP(A38,UNIDADES[UNIDADE],UNIDADES[POSICAO NASCENTE/POENTE]) &amp; " " &amp; _xlfn.XLOOKUP(A38,UNIDADES[UNIDADE],UNIDADES[POSICAO NORTE/SUL]) &amp; " " &amp; _xlfn.XLOOKUP(A38,UNIDADES[UNIDADE],UNIDADES[POSICAO INTERNO/EXTERNO]))</f>
        <v>NASCENTE NORTE INTERNO</v>
      </c>
      <c r="C38" s="2">
        <f>_xlfn.XLOOKUP(A38,UNIDADES[UNIDADE],UNIDADES[AREA PADRAO])</f>
        <v>107.136857496183</v>
      </c>
      <c r="D38" s="2">
        <f>_xlfn.XLOOKUP(A38,UNIDADES[UNIDADE],UNIDADES[AREA TERRACO])</f>
        <v>0</v>
      </c>
      <c r="E38" s="1">
        <f>_xlfn.XLOOKUP(A38,UNIDADES[UNIDADE],UNIDADES[AREA CALCULO DE PRECO])</f>
        <v>107.136857496183</v>
      </c>
      <c r="F38" s="2">
        <f>F32*1.015</f>
        <v>128.09104308000002</v>
      </c>
      <c r="G38" s="8">
        <f t="shared" si="9"/>
        <v>9.409319935827198E-3</v>
      </c>
      <c r="H38" s="9">
        <f t="shared" si="10"/>
        <v>1545116.7765827863</v>
      </c>
      <c r="I38" s="3">
        <f t="shared" si="2"/>
        <v>154511.67765827864</v>
      </c>
      <c r="J38" s="3">
        <f t="shared" si="3"/>
        <v>7428.4460412633962</v>
      </c>
      <c r="K38" s="3">
        <f t="shared" si="4"/>
        <v>44146.193616651042</v>
      </c>
      <c r="L38" s="3">
        <f t="shared" si="5"/>
        <v>695302.54946225393</v>
      </c>
      <c r="M38" s="3" t="s">
        <v>386</v>
      </c>
      <c r="N38" s="5">
        <f t="shared" si="8"/>
        <v>14421.897493473101</v>
      </c>
    </row>
    <row r="39" spans="1:14" x14ac:dyDescent="0.4">
      <c r="A39" t="s">
        <v>265</v>
      </c>
      <c r="B39" t="str">
        <f>TRIM(_xlfn.XLOOKUP(A39,UNIDADES[UNIDADE],UNIDADES[POSICAO NASCENTE/POENTE]) &amp; " " &amp; _xlfn.XLOOKUP(A39,UNIDADES[UNIDADE],UNIDADES[POSICAO NORTE/SUL]) &amp; " " &amp; _xlfn.XLOOKUP(A39,UNIDADES[UNIDADE],UNIDADES[POSICAO INTERNO/EXTERNO]))</f>
        <v>NASCENTE SUL EXTERNO</v>
      </c>
      <c r="C39" s="2">
        <f>_xlfn.XLOOKUP(A39,UNIDADES[UNIDADE],UNIDADES[AREA PADRAO])</f>
        <v>106.830057496183</v>
      </c>
      <c r="D39" s="2">
        <f>_xlfn.XLOOKUP(A39,UNIDADES[UNIDADE],UNIDADES[AREA TERRACO])</f>
        <v>0</v>
      </c>
      <c r="E39" s="1">
        <f>_xlfn.XLOOKUP(A39,UNIDADES[UNIDADE],UNIDADES[AREA CALCULO DE PRECO])</f>
        <v>106.830057496183</v>
      </c>
      <c r="F39" s="2">
        <f>F38</f>
        <v>128.09104308000002</v>
      </c>
      <c r="G39" s="8">
        <f t="shared" si="9"/>
        <v>9.3823751530159732E-3</v>
      </c>
      <c r="H39" s="9">
        <f t="shared" si="10"/>
        <v>1540692.1384317889</v>
      </c>
      <c r="I39" s="3">
        <f t="shared" si="2"/>
        <v>154069.21384317891</v>
      </c>
      <c r="J39" s="3">
        <f t="shared" si="3"/>
        <v>7407.1737424605235</v>
      </c>
      <c r="K39" s="3">
        <f t="shared" si="4"/>
        <v>44019.775383765402</v>
      </c>
      <c r="L39" s="3">
        <f t="shared" si="5"/>
        <v>693311.46229430498</v>
      </c>
      <c r="M39" s="3" t="s">
        <v>386</v>
      </c>
      <c r="N39" s="5">
        <f t="shared" si="8"/>
        <v>14421.897493473101</v>
      </c>
    </row>
    <row r="40" spans="1:14" x14ac:dyDescent="0.4">
      <c r="A40" t="s">
        <v>266</v>
      </c>
      <c r="B40" t="str">
        <f>TRIM(_xlfn.XLOOKUP(A40,UNIDADES[UNIDADE],UNIDADES[POSICAO NASCENTE/POENTE]) &amp; " " &amp; _xlfn.XLOOKUP(A40,UNIDADES[UNIDADE],UNIDADES[POSICAO NORTE/SUL]) &amp; " " &amp; _xlfn.XLOOKUP(A40,UNIDADES[UNIDADE],UNIDADES[POSICAO INTERNO/EXTERNO]))</f>
        <v>SUL EXTERNO</v>
      </c>
      <c r="C40" s="2">
        <f>_xlfn.XLOOKUP(A40,UNIDADES[UNIDADE],UNIDADES[AREA PADRAO])</f>
        <v>73.431622938558206</v>
      </c>
      <c r="D40" s="2">
        <f>_xlfn.XLOOKUP(A40,UNIDADES[UNIDADE],UNIDADES[AREA TERRACO])</f>
        <v>0</v>
      </c>
      <c r="E40" s="1">
        <f>_xlfn.XLOOKUP(A40,UNIDADES[UNIDADE],UNIDADES[AREA CALCULO DE PRECO])</f>
        <v>73.431622938558206</v>
      </c>
      <c r="F40" s="2">
        <f>F38*0.9</f>
        <v>115.28193877200002</v>
      </c>
      <c r="G40" s="8">
        <f t="shared" si="9"/>
        <v>5.80423474054654E-3</v>
      </c>
      <c r="H40" s="9">
        <f t="shared" si="10"/>
        <v>953121.00491932908</v>
      </c>
      <c r="I40" s="3">
        <f t="shared" si="2"/>
        <v>95312.100491932913</v>
      </c>
      <c r="J40" s="3">
        <f t="shared" si="3"/>
        <v>4582.3125236506203</v>
      </c>
      <c r="K40" s="3">
        <f t="shared" si="4"/>
        <v>27232.028711980831</v>
      </c>
      <c r="L40" s="3">
        <f t="shared" si="5"/>
        <v>428904.45221369807</v>
      </c>
      <c r="M40" s="3" t="s">
        <v>386</v>
      </c>
      <c r="N40" s="5">
        <f t="shared" si="8"/>
        <v>12979.707744125792</v>
      </c>
    </row>
    <row r="41" spans="1:14" x14ac:dyDescent="0.4">
      <c r="A41" t="s">
        <v>267</v>
      </c>
      <c r="B41" t="str">
        <f>TRIM(_xlfn.XLOOKUP(A41,UNIDADES[UNIDADE],UNIDADES[POSICAO NASCENTE/POENTE]) &amp; " " &amp; _xlfn.XLOOKUP(A41,UNIDADES[UNIDADE],UNIDADES[POSICAO NORTE/SUL]) &amp; " " &amp; _xlfn.XLOOKUP(A41,UNIDADES[UNIDADE],UNIDADES[POSICAO INTERNO/EXTERNO]))</f>
        <v>POENTE SUL EXTERNO</v>
      </c>
      <c r="C41" s="2">
        <f>_xlfn.XLOOKUP(A41,UNIDADES[UNIDADE],UNIDADES[AREA PADRAO])</f>
        <v>83.928650000000104</v>
      </c>
      <c r="D41" s="2">
        <f>_xlfn.XLOOKUP(A41,UNIDADES[UNIDADE],UNIDADES[AREA TERRACO])</f>
        <v>0</v>
      </c>
      <c r="E41" s="1">
        <f>_xlfn.XLOOKUP(A41,UNIDADES[UNIDADE],UNIDADES[AREA CALCULO DE PRECO])</f>
        <v>83.928650000000104</v>
      </c>
      <c r="F41" s="2">
        <f>F38*0.9</f>
        <v>115.28193877200002</v>
      </c>
      <c r="G41" s="8">
        <f t="shared" si="9"/>
        <v>6.6339482441341883E-3</v>
      </c>
      <c r="H41" s="9">
        <f t="shared" si="10"/>
        <v>1089369.3483590246</v>
      </c>
      <c r="I41" s="3">
        <f t="shared" si="2"/>
        <v>108936.93483590247</v>
      </c>
      <c r="J41" s="3">
        <f t="shared" si="3"/>
        <v>5237.3526363414649</v>
      </c>
      <c r="K41" s="3">
        <f t="shared" si="4"/>
        <v>31124.838524543564</v>
      </c>
      <c r="L41" s="3">
        <f t="shared" si="5"/>
        <v>490216.2067615611</v>
      </c>
      <c r="M41" s="3" t="s">
        <v>386</v>
      </c>
      <c r="N41" s="5">
        <f t="shared" si="8"/>
        <v>12979.707744125793</v>
      </c>
    </row>
    <row r="42" spans="1:14" x14ac:dyDescent="0.4">
      <c r="A42" t="s">
        <v>268</v>
      </c>
      <c r="B42" t="str">
        <f>TRIM(_xlfn.XLOOKUP(A42,UNIDADES[UNIDADE],UNIDADES[POSICAO NASCENTE/POENTE]) &amp; " " &amp; _xlfn.XLOOKUP(A42,UNIDADES[UNIDADE],UNIDADES[POSICAO NORTE/SUL]) &amp; " " &amp; _xlfn.XLOOKUP(A42,UNIDADES[UNIDADE],UNIDADES[POSICAO INTERNO/EXTERNO]))</f>
        <v>POENTE NORTE INTERNO</v>
      </c>
      <c r="C42" s="2">
        <f>_xlfn.XLOOKUP(A42,UNIDADES[UNIDADE],UNIDADES[AREA PADRAO])</f>
        <v>50.736100000002203</v>
      </c>
      <c r="D42" s="2">
        <f>_xlfn.XLOOKUP(A42,UNIDADES[UNIDADE],UNIDADES[AREA TERRACO])</f>
        <v>0</v>
      </c>
      <c r="E42" s="1">
        <f>_xlfn.XLOOKUP(A42,UNIDADES[UNIDADE],UNIDADES[AREA CALCULO DE PRECO])</f>
        <v>50.736100000002203</v>
      </c>
      <c r="F42" s="2">
        <f>F38*0.95</f>
        <v>121.68649092600002</v>
      </c>
      <c r="G42" s="8">
        <f t="shared" si="9"/>
        <v>4.2331145222594723E-3</v>
      </c>
      <c r="H42" s="9">
        <f t="shared" si="10"/>
        <v>695125.29174770077</v>
      </c>
      <c r="I42" s="3">
        <f t="shared" si="2"/>
        <v>69512.529174770083</v>
      </c>
      <c r="J42" s="3">
        <f t="shared" si="3"/>
        <v>3341.9485180177921</v>
      </c>
      <c r="K42" s="3">
        <f t="shared" si="4"/>
        <v>19860.722621362882</v>
      </c>
      <c r="L42" s="3">
        <f t="shared" si="5"/>
        <v>312806.38128646533</v>
      </c>
      <c r="M42" s="3" t="s">
        <v>386</v>
      </c>
      <c r="N42" s="5">
        <f t="shared" si="8"/>
        <v>13700.802618799446</v>
      </c>
    </row>
    <row r="43" spans="1:14" x14ac:dyDescent="0.4">
      <c r="A43" t="s">
        <v>269</v>
      </c>
      <c r="B43" t="str">
        <f>TRIM(_xlfn.XLOOKUP(A43,UNIDADES[UNIDADE],UNIDADES[POSICAO NASCENTE/POENTE]) &amp; " " &amp; _xlfn.XLOOKUP(A43,UNIDADES[UNIDADE],UNIDADES[POSICAO NORTE/SUL]) &amp; " " &amp; _xlfn.XLOOKUP(A43,UNIDADES[UNIDADE],UNIDADES[POSICAO INTERNO/EXTERNO]))</f>
        <v>NORTE INTERNO</v>
      </c>
      <c r="C43" s="2">
        <f>_xlfn.XLOOKUP(A43,UNIDADES[UNIDADE],UNIDADES[AREA PADRAO])</f>
        <v>73.377825001545801</v>
      </c>
      <c r="D43" s="2">
        <f>_xlfn.XLOOKUP(A43,UNIDADES[UNIDADE],UNIDADES[AREA TERRACO])</f>
        <v>0</v>
      </c>
      <c r="E43" s="1">
        <f>_xlfn.XLOOKUP(A43,UNIDADES[UNIDADE],UNIDADES[AREA CALCULO DE PRECO])</f>
        <v>73.377825001545801</v>
      </c>
      <c r="F43" s="2">
        <f>F38*0.95</f>
        <v>121.68649092600002</v>
      </c>
      <c r="G43" s="8">
        <f t="shared" si="9"/>
        <v>6.1222036503760487E-3</v>
      </c>
      <c r="H43" s="9">
        <f t="shared" si="10"/>
        <v>1005335.0969429862</v>
      </c>
      <c r="I43" s="3">
        <f t="shared" si="2"/>
        <v>100533.50969429863</v>
      </c>
      <c r="J43" s="3">
        <f t="shared" si="3"/>
        <v>4833.3418122258954</v>
      </c>
      <c r="K43" s="3">
        <f t="shared" si="4"/>
        <v>28723.85991265675</v>
      </c>
      <c r="L43" s="3">
        <f t="shared" si="5"/>
        <v>452400.79362434382</v>
      </c>
      <c r="M43" s="3" t="s">
        <v>386</v>
      </c>
      <c r="N43" s="5">
        <f t="shared" si="8"/>
        <v>13700.802618799447</v>
      </c>
    </row>
    <row r="44" spans="1:14" x14ac:dyDescent="0.4">
      <c r="A44" t="s">
        <v>286</v>
      </c>
      <c r="B44" t="str">
        <f>TRIM(_xlfn.XLOOKUP(A44,UNIDADES[UNIDADE],UNIDADES[POSICAO NASCENTE/POENTE]) &amp; " " &amp; _xlfn.XLOOKUP(A44,UNIDADES[UNIDADE],UNIDADES[POSICAO NORTE/SUL]) &amp; " " &amp; _xlfn.XLOOKUP(A44,UNIDADES[UNIDADE],UNIDADES[POSICAO INTERNO/EXTERNO]))</f>
        <v>NASCENTE NORTE INTERNO</v>
      </c>
      <c r="C44" s="2">
        <f>_xlfn.XLOOKUP(A44,UNIDADES[UNIDADE],UNIDADES[AREA PADRAO])</f>
        <v>107.332157496183</v>
      </c>
      <c r="D44" s="2">
        <f>_xlfn.XLOOKUP(A44,UNIDADES[UNIDADE],UNIDADES[AREA TERRACO])</f>
        <v>0</v>
      </c>
      <c r="E44" s="1">
        <f>_xlfn.XLOOKUP(A44,UNIDADES[UNIDADE],UNIDADES[AREA CALCULO DE PRECO])</f>
        <v>107.332157496183</v>
      </c>
      <c r="F44" s="2">
        <f>F38*1.015</f>
        <v>130.01240872620002</v>
      </c>
      <c r="G44" s="8">
        <f t="shared" si="9"/>
        <v>9.5678692877468677E-3</v>
      </c>
      <c r="H44" s="9">
        <f t="shared" si="10"/>
        <v>1571152.3737607107</v>
      </c>
      <c r="I44" s="3">
        <f t="shared" si="2"/>
        <v>157115.23737607108</v>
      </c>
      <c r="J44" s="3">
        <f t="shared" si="3"/>
        <v>7553.6171815418784</v>
      </c>
      <c r="K44" s="3">
        <f t="shared" si="4"/>
        <v>44890.067821734592</v>
      </c>
      <c r="L44" s="3">
        <f t="shared" si="5"/>
        <v>707018.56819231983</v>
      </c>
      <c r="M44" s="3" t="s">
        <v>386</v>
      </c>
      <c r="N44" s="5">
        <f t="shared" si="8"/>
        <v>14638.225955875198</v>
      </c>
    </row>
    <row r="45" spans="1:14" x14ac:dyDescent="0.4">
      <c r="A45" t="s">
        <v>264</v>
      </c>
      <c r="B45" t="str">
        <f>TRIM(_xlfn.XLOOKUP(A45,UNIDADES[UNIDADE],UNIDADES[POSICAO NASCENTE/POENTE]) &amp; " " &amp; _xlfn.XLOOKUP(A45,UNIDADES[UNIDADE],UNIDADES[POSICAO NORTE/SUL]) &amp; " " &amp; _xlfn.XLOOKUP(A45,UNIDADES[UNIDADE],UNIDADES[POSICAO INTERNO/EXTERNO]))</f>
        <v>NASCENTE SUL EXTERNO</v>
      </c>
      <c r="C45" s="2">
        <f>_xlfn.XLOOKUP(A45,UNIDADES[UNIDADE],UNIDADES[AREA PADRAO])</f>
        <v>107.332157496183</v>
      </c>
      <c r="D45" s="2">
        <f>_xlfn.XLOOKUP(A45,UNIDADES[UNIDADE],UNIDADES[AREA TERRACO])</f>
        <v>0</v>
      </c>
      <c r="E45" s="1">
        <f>_xlfn.XLOOKUP(A45,UNIDADES[UNIDADE],UNIDADES[AREA CALCULO DE PRECO])</f>
        <v>107.332157496183</v>
      </c>
      <c r="F45" s="2">
        <f>F44</f>
        <v>130.01240872620002</v>
      </c>
      <c r="G45" s="8">
        <f t="shared" si="9"/>
        <v>9.5678692877468677E-3</v>
      </c>
      <c r="H45" s="9">
        <f t="shared" si="10"/>
        <v>1571152.3737607107</v>
      </c>
      <c r="I45" s="3">
        <f t="shared" si="2"/>
        <v>157115.23737607108</v>
      </c>
      <c r="J45" s="3">
        <f t="shared" si="3"/>
        <v>7553.6171815418784</v>
      </c>
      <c r="K45" s="3">
        <f t="shared" si="4"/>
        <v>44890.067821734592</v>
      </c>
      <c r="L45" s="3">
        <f t="shared" si="5"/>
        <v>707018.56819231983</v>
      </c>
      <c r="M45" s="3" t="s">
        <v>386</v>
      </c>
      <c r="N45" s="5">
        <f t="shared" si="8"/>
        <v>14638.225955875198</v>
      </c>
    </row>
    <row r="46" spans="1:14" x14ac:dyDescent="0.4">
      <c r="A46" t="s">
        <v>210</v>
      </c>
      <c r="B46" t="str">
        <f>TRIM(_xlfn.XLOOKUP(A46,UNIDADES[UNIDADE],UNIDADES[POSICAO NASCENTE/POENTE]) &amp; " " &amp; _xlfn.XLOOKUP(A46,UNIDADES[UNIDADE],UNIDADES[POSICAO NORTE/SUL]) &amp; " " &amp; _xlfn.XLOOKUP(A46,UNIDADES[UNIDADE],UNIDADES[POSICAO INTERNO/EXTERNO]))</f>
        <v>SUL EXTERNO</v>
      </c>
      <c r="C46" s="2">
        <f>_xlfn.XLOOKUP(A46,UNIDADES[UNIDADE],UNIDADES[AREA PADRAO])</f>
        <v>73.207900000000393</v>
      </c>
      <c r="D46" s="2">
        <f>_xlfn.XLOOKUP(A46,UNIDADES[UNIDADE],UNIDADES[AREA TERRACO])</f>
        <v>0</v>
      </c>
      <c r="E46" s="1">
        <f>_xlfn.XLOOKUP(A46,UNIDADES[UNIDADE],UNIDADES[AREA CALCULO DE PRECO])</f>
        <v>73.207900000000393</v>
      </c>
      <c r="F46" s="2">
        <f>F44*0.9</f>
        <v>117.01116785358002</v>
      </c>
      <c r="G46" s="8">
        <f t="shared" si="9"/>
        <v>5.8733493384759503E-3</v>
      </c>
      <c r="H46" s="9">
        <f t="shared" si="10"/>
        <v>964470.40375960956</v>
      </c>
      <c r="I46" s="3">
        <f t="shared" si="2"/>
        <v>96447.040375960962</v>
      </c>
      <c r="J46" s="3">
        <f t="shared" si="3"/>
        <v>4636.8769411519688</v>
      </c>
      <c r="K46" s="3">
        <f t="shared" si="4"/>
        <v>27556.297250274562</v>
      </c>
      <c r="L46" s="3">
        <f t="shared" si="5"/>
        <v>434011.68169182428</v>
      </c>
      <c r="M46" s="3" t="s">
        <v>386</v>
      </c>
      <c r="N46" s="5">
        <f t="shared" si="8"/>
        <v>13174.403360287679</v>
      </c>
    </row>
    <row r="47" spans="1:14" x14ac:dyDescent="0.4">
      <c r="A47" t="s">
        <v>211</v>
      </c>
      <c r="B47" t="str">
        <f>TRIM(_xlfn.XLOOKUP(A47,UNIDADES[UNIDADE],UNIDADES[POSICAO NASCENTE/POENTE]) &amp; " " &amp; _xlfn.XLOOKUP(A47,UNIDADES[UNIDADE],UNIDADES[POSICAO NORTE/SUL]) &amp; " " &amp; _xlfn.XLOOKUP(A47,UNIDADES[UNIDADE],UNIDADES[POSICAO INTERNO/EXTERNO]))</f>
        <v>POENTE SUL EXTERNO</v>
      </c>
      <c r="C47" s="2">
        <f>_xlfn.XLOOKUP(A47,UNIDADES[UNIDADE],UNIDADES[AREA PADRAO])</f>
        <v>83.711328110599297</v>
      </c>
      <c r="D47" s="2">
        <f>_xlfn.XLOOKUP(A47,UNIDADES[UNIDADE],UNIDADES[AREA TERRACO])</f>
        <v>0</v>
      </c>
      <c r="E47" s="1">
        <f>_xlfn.XLOOKUP(A47,UNIDADES[UNIDADE],UNIDADES[AREA CALCULO DE PRECO])</f>
        <v>83.711328110599297</v>
      </c>
      <c r="F47" s="2">
        <f>F44*0.9</f>
        <v>117.01116785358002</v>
      </c>
      <c r="G47" s="8">
        <f t="shared" si="9"/>
        <v>6.7160220902570478E-3</v>
      </c>
      <c r="H47" s="9">
        <f t="shared" si="10"/>
        <v>1102846.8023544238</v>
      </c>
      <c r="I47" s="3">
        <f t="shared" si="2"/>
        <v>110284.68023544239</v>
      </c>
      <c r="J47" s="3">
        <f t="shared" si="3"/>
        <v>5302.1480882424221</v>
      </c>
      <c r="K47" s="3">
        <f t="shared" si="4"/>
        <v>31509.908638697823</v>
      </c>
      <c r="L47" s="3">
        <f t="shared" si="5"/>
        <v>496281.06105949072</v>
      </c>
      <c r="M47" s="3" t="s">
        <v>386</v>
      </c>
      <c r="N47" s="5">
        <f t="shared" si="8"/>
        <v>13174.403360287679</v>
      </c>
    </row>
    <row r="48" spans="1:14" x14ac:dyDescent="0.4">
      <c r="A48" t="s">
        <v>212</v>
      </c>
      <c r="B48" t="str">
        <f>TRIM(_xlfn.XLOOKUP(A48,UNIDADES[UNIDADE],UNIDADES[POSICAO NASCENTE/POENTE]) &amp; " " &amp; _xlfn.XLOOKUP(A48,UNIDADES[UNIDADE],UNIDADES[POSICAO NORTE/SUL]) &amp; " " &amp; _xlfn.XLOOKUP(A48,UNIDADES[UNIDADE],UNIDADES[POSICAO INTERNO/EXTERNO]))</f>
        <v>POENTE NORTE INTERNO</v>
      </c>
      <c r="C48" s="2">
        <f>_xlfn.XLOOKUP(A48,UNIDADES[UNIDADE],UNIDADES[AREA PADRAO])</f>
        <v>53.910100000003084</v>
      </c>
      <c r="D48" s="2">
        <f>_xlfn.XLOOKUP(A48,UNIDADES[UNIDADE],UNIDADES[AREA TERRACO])</f>
        <v>0</v>
      </c>
      <c r="E48" s="1">
        <f>_xlfn.XLOOKUP(A48,UNIDADES[UNIDADE],UNIDADES[AREA CALCULO DE PRECO])</f>
        <v>53.910100000003084</v>
      </c>
      <c r="F48" s="2">
        <f>F44*0.95</f>
        <v>123.51178828989002</v>
      </c>
      <c r="G48" s="8">
        <f t="shared" si="9"/>
        <v>4.5654029697702525E-3</v>
      </c>
      <c r="H48" s="9">
        <f t="shared" si="10"/>
        <v>749690.81384867907</v>
      </c>
      <c r="I48" s="3">
        <f t="shared" si="2"/>
        <v>74969.08138486791</v>
      </c>
      <c r="J48" s="3">
        <f t="shared" si="3"/>
        <v>3604.2827588878799</v>
      </c>
      <c r="K48" s="3">
        <f t="shared" si="4"/>
        <v>21419.737538533689</v>
      </c>
      <c r="L48" s="3">
        <f t="shared" si="5"/>
        <v>337360.86623190559</v>
      </c>
      <c r="M48" s="3" t="s">
        <v>386</v>
      </c>
      <c r="N48" s="5">
        <f t="shared" si="8"/>
        <v>13906.314658081439</v>
      </c>
    </row>
    <row r="49" spans="1:14" x14ac:dyDescent="0.4">
      <c r="A49" t="s">
        <v>213</v>
      </c>
      <c r="B49" t="str">
        <f>TRIM(_xlfn.XLOOKUP(A49,UNIDADES[UNIDADE],UNIDADES[POSICAO NASCENTE/POENTE]) &amp; " " &amp; _xlfn.XLOOKUP(A49,UNIDADES[UNIDADE],UNIDADES[POSICAO NORTE/SUL]) &amp; " " &amp; _xlfn.XLOOKUP(A49,UNIDADES[UNIDADE],UNIDADES[POSICAO INTERNO/EXTERNO]))</f>
        <v>NORTE INTERNO</v>
      </c>
      <c r="C49" s="2">
        <f>_xlfn.XLOOKUP(A49,UNIDADES[UNIDADE],UNIDADES[AREA PADRAO])</f>
        <v>74.148600001545901</v>
      </c>
      <c r="D49" s="2">
        <f>_xlfn.XLOOKUP(A49,UNIDADES[UNIDADE],UNIDADES[AREA TERRACO])</f>
        <v>0</v>
      </c>
      <c r="E49" s="1">
        <f>_xlfn.XLOOKUP(A49,UNIDADES[UNIDADE],UNIDADES[AREA CALCULO DE PRECO])</f>
        <v>74.148600001545901</v>
      </c>
      <c r="F49" s="2">
        <f>F44*0.95</f>
        <v>123.51178828989002</v>
      </c>
      <c r="G49" s="8">
        <f t="shared" si="9"/>
        <v>6.2793101599022223E-3</v>
      </c>
      <c r="H49" s="9">
        <f t="shared" si="10"/>
        <v>1031133.7630777151</v>
      </c>
      <c r="I49" s="3">
        <f t="shared" si="2"/>
        <v>103113.37630777151</v>
      </c>
      <c r="J49" s="3">
        <f t="shared" si="3"/>
        <v>4957.3738609505535</v>
      </c>
      <c r="K49" s="3">
        <f t="shared" si="4"/>
        <v>29460.96465936329</v>
      </c>
      <c r="L49" s="3">
        <f t="shared" si="5"/>
        <v>464010.19338497176</v>
      </c>
      <c r="M49" s="3" t="s">
        <v>386</v>
      </c>
      <c r="N49" s="5">
        <f t="shared" si="8"/>
        <v>13906.314658081437</v>
      </c>
    </row>
    <row r="50" spans="1:14" x14ac:dyDescent="0.4">
      <c r="A50" t="s">
        <v>214</v>
      </c>
      <c r="B50" t="str">
        <f>TRIM(_xlfn.XLOOKUP(A50,UNIDADES[UNIDADE],UNIDADES[POSICAO NASCENTE/POENTE]) &amp; " " &amp; _xlfn.XLOOKUP(A50,UNIDADES[UNIDADE],UNIDADES[POSICAO NORTE/SUL]) &amp; " " &amp; _xlfn.XLOOKUP(A50,UNIDADES[UNIDADE],UNIDADES[POSICAO INTERNO/EXTERNO]))</f>
        <v>NASCENTE NORTE INTERNO</v>
      </c>
      <c r="C50" s="2">
        <f>_xlfn.XLOOKUP(A50,UNIDADES[UNIDADE],UNIDADES[AREA PADRAO])</f>
        <v>107.136857496183</v>
      </c>
      <c r="D50" s="2">
        <f>_xlfn.XLOOKUP(A50,UNIDADES[UNIDADE],UNIDADES[AREA TERRACO])</f>
        <v>0</v>
      </c>
      <c r="E50" s="1">
        <f>_xlfn.XLOOKUP(A50,UNIDADES[UNIDADE],UNIDADES[AREA CALCULO DE PRECO])</f>
        <v>107.136857496183</v>
      </c>
      <c r="F50" s="2">
        <f>F44*1.01</f>
        <v>131.31253281346201</v>
      </c>
      <c r="G50" s="8">
        <f t="shared" si="9"/>
        <v>9.6459643322132516E-3</v>
      </c>
      <c r="H50" s="9">
        <f t="shared" si="10"/>
        <v>1583976.4635138435</v>
      </c>
      <c r="I50" s="3">
        <f t="shared" si="2"/>
        <v>158397.64635138435</v>
      </c>
      <c r="J50" s="3">
        <f t="shared" si="3"/>
        <v>7615.2714592011707</v>
      </c>
      <c r="K50" s="3">
        <f t="shared" si="4"/>
        <v>45256.470386109817</v>
      </c>
      <c r="L50" s="3">
        <f t="shared" si="5"/>
        <v>712789.40858122963</v>
      </c>
      <c r="M50" s="3" t="s">
        <v>386</v>
      </c>
      <c r="N50" s="5">
        <f t="shared" si="8"/>
        <v>14784.608215433949</v>
      </c>
    </row>
    <row r="51" spans="1:14" x14ac:dyDescent="0.4">
      <c r="A51" t="s">
        <v>215</v>
      </c>
      <c r="B51" t="str">
        <f>TRIM(_xlfn.XLOOKUP(A51,UNIDADES[UNIDADE],UNIDADES[POSICAO NASCENTE/POENTE]) &amp; " " &amp; _xlfn.XLOOKUP(A51,UNIDADES[UNIDADE],UNIDADES[POSICAO NORTE/SUL]) &amp; " " &amp; _xlfn.XLOOKUP(A51,UNIDADES[UNIDADE],UNIDADES[POSICAO INTERNO/EXTERNO]))</f>
        <v>NASCENTE SUL EXTERNO</v>
      </c>
      <c r="C51" s="2">
        <f>_xlfn.XLOOKUP(A51,UNIDADES[UNIDADE],UNIDADES[AREA PADRAO])</f>
        <v>106.830057496183</v>
      </c>
      <c r="D51" s="2">
        <f>_xlfn.XLOOKUP(A51,UNIDADES[UNIDADE],UNIDADES[AREA TERRACO])</f>
        <v>0</v>
      </c>
      <c r="E51" s="1">
        <f>_xlfn.XLOOKUP(A51,UNIDADES[UNIDADE],UNIDADES[AREA CALCULO DE PRECO])</f>
        <v>106.830057496183</v>
      </c>
      <c r="F51" s="2">
        <f>F50</f>
        <v>131.31253281346201</v>
      </c>
      <c r="G51" s="8">
        <f t="shared" si="9"/>
        <v>9.6183418881143241E-3</v>
      </c>
      <c r="H51" s="9">
        <f t="shared" si="10"/>
        <v>1579440.5457133483</v>
      </c>
      <c r="I51" s="3">
        <f t="shared" si="2"/>
        <v>157944.05457133485</v>
      </c>
      <c r="J51" s="3">
        <f t="shared" si="3"/>
        <v>7593.4641620834054</v>
      </c>
      <c r="K51" s="3">
        <f t="shared" si="4"/>
        <v>45126.8727346671</v>
      </c>
      <c r="L51" s="3">
        <f t="shared" si="5"/>
        <v>710748.24557100679</v>
      </c>
      <c r="M51" s="3" t="s">
        <v>386</v>
      </c>
      <c r="N51" s="5">
        <f t="shared" si="8"/>
        <v>14784.608215433949</v>
      </c>
    </row>
    <row r="52" spans="1:14" x14ac:dyDescent="0.4">
      <c r="A52" t="s">
        <v>216</v>
      </c>
      <c r="B52" t="str">
        <f>TRIM(_xlfn.XLOOKUP(A52,UNIDADES[UNIDADE],UNIDADES[POSICAO NASCENTE/POENTE]) &amp; " " &amp; _xlfn.XLOOKUP(A52,UNIDADES[UNIDADE],UNIDADES[POSICAO NORTE/SUL]) &amp; " " &amp; _xlfn.XLOOKUP(A52,UNIDADES[UNIDADE],UNIDADES[POSICAO INTERNO/EXTERNO]))</f>
        <v>SUL EXTERNO</v>
      </c>
      <c r="C52" s="2">
        <f>_xlfn.XLOOKUP(A52,UNIDADES[UNIDADE],UNIDADES[AREA PADRAO])</f>
        <v>73.431622938558206</v>
      </c>
      <c r="D52" s="2">
        <f>_xlfn.XLOOKUP(A52,UNIDADES[UNIDADE],UNIDADES[AREA TERRACO])</f>
        <v>0</v>
      </c>
      <c r="E52" s="1">
        <f>_xlfn.XLOOKUP(A52,UNIDADES[UNIDADE],UNIDADES[AREA CALCULO DE PRECO])</f>
        <v>73.431622938558206</v>
      </c>
      <c r="F52" s="2">
        <f>F50*0.9</f>
        <v>118.18127953211581</v>
      </c>
      <c r="G52" s="8">
        <f t="shared" si="9"/>
        <v>5.950211244271285E-3</v>
      </c>
      <c r="H52" s="9">
        <f t="shared" si="10"/>
        <v>977091.99819305015</v>
      </c>
      <c r="I52" s="3">
        <f t="shared" si="2"/>
        <v>97709.199819305024</v>
      </c>
      <c r="J52" s="3">
        <f t="shared" si="3"/>
        <v>4697.5576836204336</v>
      </c>
      <c r="K52" s="3">
        <f t="shared" si="4"/>
        <v>27916.914234087151</v>
      </c>
      <c r="L52" s="3">
        <f t="shared" si="5"/>
        <v>439691.39918687259</v>
      </c>
      <c r="M52" s="3" t="s">
        <v>386</v>
      </c>
      <c r="N52" s="5">
        <f t="shared" si="8"/>
        <v>13306.147393890555</v>
      </c>
    </row>
    <row r="53" spans="1:14" x14ac:dyDescent="0.4">
      <c r="A53" t="s">
        <v>217</v>
      </c>
      <c r="B53" t="str">
        <f>TRIM(_xlfn.XLOOKUP(A53,UNIDADES[UNIDADE],UNIDADES[POSICAO NASCENTE/POENTE]) &amp; " " &amp; _xlfn.XLOOKUP(A53,UNIDADES[UNIDADE],UNIDADES[POSICAO NORTE/SUL]) &amp; " " &amp; _xlfn.XLOOKUP(A53,UNIDADES[UNIDADE],UNIDADES[POSICAO INTERNO/EXTERNO]))</f>
        <v>POENTE SUL EXTERNO</v>
      </c>
      <c r="C53" s="2">
        <f>_xlfn.XLOOKUP(A53,UNIDADES[UNIDADE],UNIDADES[AREA PADRAO])</f>
        <v>83.928650000000104</v>
      </c>
      <c r="D53" s="2">
        <f>_xlfn.XLOOKUP(A53,UNIDADES[UNIDADE],UNIDADES[AREA TERRACO])</f>
        <v>0</v>
      </c>
      <c r="E53" s="1">
        <f>_xlfn.XLOOKUP(A53,UNIDADES[UNIDADE],UNIDADES[AREA CALCULO DE PRECO])</f>
        <v>83.928650000000104</v>
      </c>
      <c r="F53" s="2">
        <f>F50*0.9</f>
        <v>118.18127953211581</v>
      </c>
      <c r="G53" s="8">
        <f t="shared" si="9"/>
        <v>6.8007920424741622E-3</v>
      </c>
      <c r="H53" s="9">
        <f t="shared" si="10"/>
        <v>1116766.9874702538</v>
      </c>
      <c r="I53" s="3">
        <f t="shared" si="2"/>
        <v>111676.6987470254</v>
      </c>
      <c r="J53" s="3">
        <f t="shared" si="3"/>
        <v>5369.0720551454515</v>
      </c>
      <c r="K53" s="3">
        <f t="shared" si="4"/>
        <v>31907.628213435826</v>
      </c>
      <c r="L53" s="3">
        <f t="shared" si="5"/>
        <v>502545.14436161425</v>
      </c>
      <c r="M53" s="3" t="s">
        <v>386</v>
      </c>
      <c r="N53" s="5">
        <f t="shared" si="8"/>
        <v>13306.147393890555</v>
      </c>
    </row>
    <row r="54" spans="1:14" x14ac:dyDescent="0.4">
      <c r="A54" t="s">
        <v>218</v>
      </c>
      <c r="B54" t="str">
        <f>TRIM(_xlfn.XLOOKUP(A54,UNIDADES[UNIDADE],UNIDADES[POSICAO NASCENTE/POENTE]) &amp; " " &amp; _xlfn.XLOOKUP(A54,UNIDADES[UNIDADE],UNIDADES[POSICAO NORTE/SUL]) &amp; " " &amp; _xlfn.XLOOKUP(A54,UNIDADES[UNIDADE],UNIDADES[POSICAO INTERNO/EXTERNO]))</f>
        <v>POENTE NORTE INTERNO</v>
      </c>
      <c r="C54" s="2">
        <f>_xlfn.XLOOKUP(A54,UNIDADES[UNIDADE],UNIDADES[AREA PADRAO])</f>
        <v>50.736100000002203</v>
      </c>
      <c r="D54" s="2">
        <f>_xlfn.XLOOKUP(A54,UNIDADES[UNIDADE],UNIDADES[AREA TERRACO])</f>
        <v>0</v>
      </c>
      <c r="E54" s="1">
        <f>_xlfn.XLOOKUP(A54,UNIDADES[UNIDADE],UNIDADES[AREA CALCULO DE PRECO])</f>
        <v>50.736100000002203</v>
      </c>
      <c r="F54" s="2">
        <f>F50*0.95</f>
        <v>124.74690617278891</v>
      </c>
      <c r="G54" s="8">
        <f t="shared" si="9"/>
        <v>4.3395773524942975E-3</v>
      </c>
      <c r="H54" s="9">
        <f t="shared" si="10"/>
        <v>712607.69283515529</v>
      </c>
      <c r="I54" s="3">
        <f t="shared" si="2"/>
        <v>71260.769283515532</v>
      </c>
      <c r="J54" s="3">
        <f t="shared" si="3"/>
        <v>3425.9985232459389</v>
      </c>
      <c r="K54" s="3">
        <f t="shared" si="4"/>
        <v>20360.219795290152</v>
      </c>
      <c r="L54" s="3">
        <f t="shared" si="5"/>
        <v>320673.46177581989</v>
      </c>
      <c r="M54" s="3" t="s">
        <v>386</v>
      </c>
      <c r="N54" s="5">
        <f t="shared" si="8"/>
        <v>14045.37780466225</v>
      </c>
    </row>
    <row r="55" spans="1:14" x14ac:dyDescent="0.4">
      <c r="A55" t="s">
        <v>219</v>
      </c>
      <c r="B55" t="str">
        <f>TRIM(_xlfn.XLOOKUP(A55,UNIDADES[UNIDADE],UNIDADES[POSICAO NASCENTE/POENTE]) &amp; " " &amp; _xlfn.XLOOKUP(A55,UNIDADES[UNIDADE],UNIDADES[POSICAO NORTE/SUL]) &amp; " " &amp; _xlfn.XLOOKUP(A55,UNIDADES[UNIDADE],UNIDADES[POSICAO INTERNO/EXTERNO]))</f>
        <v>NORTE INTERNO</v>
      </c>
      <c r="C55" s="2">
        <f>_xlfn.XLOOKUP(A55,UNIDADES[UNIDADE],UNIDADES[AREA PADRAO])</f>
        <v>73.377825001545801</v>
      </c>
      <c r="D55" s="2">
        <f>_xlfn.XLOOKUP(A55,UNIDADES[UNIDADE],UNIDADES[AREA TERRACO])</f>
        <v>0</v>
      </c>
      <c r="E55" s="1">
        <f>_xlfn.XLOOKUP(A55,UNIDADES[UNIDADE],UNIDADES[AREA CALCULO DE PRECO])</f>
        <v>73.377825001545801</v>
      </c>
      <c r="F55" s="2">
        <f>F50*0.95</f>
        <v>124.74690617278891</v>
      </c>
      <c r="G55" s="8">
        <f t="shared" si="9"/>
        <v>6.2761770721830061E-3</v>
      </c>
      <c r="H55" s="9">
        <f t="shared" si="10"/>
        <v>1030619.2746311022</v>
      </c>
      <c r="I55" s="3">
        <f t="shared" si="2"/>
        <v>103061.92746311023</v>
      </c>
      <c r="J55" s="3">
        <f t="shared" si="3"/>
        <v>4954.9003588033756</v>
      </c>
      <c r="K55" s="3">
        <f t="shared" si="4"/>
        <v>29446.264989460065</v>
      </c>
      <c r="L55" s="3">
        <f t="shared" si="5"/>
        <v>463778.67358399602</v>
      </c>
      <c r="M55" s="3" t="s">
        <v>386</v>
      </c>
      <c r="N55" s="5">
        <f t="shared" si="8"/>
        <v>14045.377804662252</v>
      </c>
    </row>
    <row r="56" spans="1:14" x14ac:dyDescent="0.4">
      <c r="A56" t="s">
        <v>288</v>
      </c>
      <c r="B56" t="str">
        <f>TRIM(_xlfn.XLOOKUP(A56,UNIDADES[UNIDADE],UNIDADES[POSICAO NASCENTE/POENTE]) &amp; " " &amp; _xlfn.XLOOKUP(A56,UNIDADES[UNIDADE],UNIDADES[POSICAO NORTE/SUL]) &amp; " " &amp; _xlfn.XLOOKUP(A56,UNIDADES[UNIDADE],UNIDADES[POSICAO INTERNO/EXTERNO]))</f>
        <v>NASCENTE NORTE INTERNO</v>
      </c>
      <c r="C56" s="2">
        <f>_xlfn.XLOOKUP(A56,UNIDADES[UNIDADE],UNIDADES[AREA PADRAO])</f>
        <v>107.332157496183</v>
      </c>
      <c r="D56" s="2">
        <f>_xlfn.XLOOKUP(A56,UNIDADES[UNIDADE],UNIDADES[AREA TERRACO])</f>
        <v>0</v>
      </c>
      <c r="E56" s="1">
        <f>_xlfn.XLOOKUP(A56,UNIDADES[UNIDADE],UNIDADES[AREA CALCULO DE PRECO])</f>
        <v>107.332157496183</v>
      </c>
      <c r="F56" s="2">
        <f>F50*1.01</f>
        <v>132.62565814159663</v>
      </c>
      <c r="G56" s="8">
        <f t="shared" si="9"/>
        <v>9.7601834604305777E-3</v>
      </c>
      <c r="H56" s="9">
        <f t="shared" si="10"/>
        <v>1602732.5364733008</v>
      </c>
      <c r="I56" s="3">
        <f t="shared" si="2"/>
        <v>160273.2536473301</v>
      </c>
      <c r="J56" s="3">
        <f t="shared" si="3"/>
        <v>7705.4448868908694</v>
      </c>
      <c r="K56" s="3">
        <f t="shared" si="4"/>
        <v>45792.358184951459</v>
      </c>
      <c r="L56" s="3">
        <f t="shared" si="5"/>
        <v>721229.64141298539</v>
      </c>
      <c r="M56" s="3" t="s">
        <v>386</v>
      </c>
      <c r="N56" s="5">
        <f t="shared" si="8"/>
        <v>14932.454297588287</v>
      </c>
    </row>
    <row r="57" spans="1:14" x14ac:dyDescent="0.4">
      <c r="A57" t="s">
        <v>300</v>
      </c>
      <c r="B57" t="str">
        <f>TRIM(_xlfn.XLOOKUP(A57,UNIDADES[UNIDADE],UNIDADES[POSICAO NASCENTE/POENTE]) &amp; " " &amp; _xlfn.XLOOKUP(A57,UNIDADES[UNIDADE],UNIDADES[POSICAO NORTE/SUL]) &amp; " " &amp; _xlfn.XLOOKUP(A57,UNIDADES[UNIDADE],UNIDADES[POSICAO INTERNO/EXTERNO]))</f>
        <v>NASCENTE SUL EXTERNO</v>
      </c>
      <c r="C57" s="2">
        <f>_xlfn.XLOOKUP(A57,UNIDADES[UNIDADE],UNIDADES[AREA PADRAO])</f>
        <v>107.332157496183</v>
      </c>
      <c r="D57" s="2">
        <f>_xlfn.XLOOKUP(A57,UNIDADES[UNIDADE],UNIDADES[AREA TERRACO])</f>
        <v>0</v>
      </c>
      <c r="E57" s="1">
        <f>_xlfn.XLOOKUP(A57,UNIDADES[UNIDADE],UNIDADES[AREA CALCULO DE PRECO])</f>
        <v>107.332157496183</v>
      </c>
      <c r="F57" s="2">
        <f>F56</f>
        <v>132.62565814159663</v>
      </c>
      <c r="G57" s="8">
        <f t="shared" si="9"/>
        <v>9.7601834604305777E-3</v>
      </c>
      <c r="H57" s="9">
        <f t="shared" si="10"/>
        <v>1602732.5364733008</v>
      </c>
      <c r="I57" s="3">
        <f t="shared" si="2"/>
        <v>160273.2536473301</v>
      </c>
      <c r="J57" s="3">
        <f t="shared" si="3"/>
        <v>7705.4448868908694</v>
      </c>
      <c r="K57" s="3">
        <f t="shared" si="4"/>
        <v>45792.358184951459</v>
      </c>
      <c r="L57" s="3">
        <f t="shared" si="5"/>
        <v>721229.64141298539</v>
      </c>
      <c r="M57" s="3" t="s">
        <v>386</v>
      </c>
      <c r="N57" s="5">
        <f t="shared" si="8"/>
        <v>14932.454297588287</v>
      </c>
    </row>
    <row r="58" spans="1:14" x14ac:dyDescent="0.4">
      <c r="A58" t="s">
        <v>314</v>
      </c>
      <c r="B58" t="str">
        <f>TRIM(_xlfn.XLOOKUP(A58,UNIDADES[UNIDADE],UNIDADES[POSICAO NASCENTE/POENTE]) &amp; " " &amp; _xlfn.XLOOKUP(A58,UNIDADES[UNIDADE],UNIDADES[POSICAO NORTE/SUL]) &amp; " " &amp; _xlfn.XLOOKUP(A58,UNIDADES[UNIDADE],UNIDADES[POSICAO INTERNO/EXTERNO]))</f>
        <v>SUL EXTERNO</v>
      </c>
      <c r="C58" s="2">
        <f>_xlfn.XLOOKUP(A58,UNIDADES[UNIDADE],UNIDADES[AREA PADRAO])</f>
        <v>73.207900000000393</v>
      </c>
      <c r="D58" s="2">
        <f>_xlfn.XLOOKUP(A58,UNIDADES[UNIDADE],UNIDADES[AREA TERRACO])</f>
        <v>0</v>
      </c>
      <c r="E58" s="1">
        <f>_xlfn.XLOOKUP(A58,UNIDADES[UNIDADE],UNIDADES[AREA CALCULO DE PRECO])</f>
        <v>73.207900000000393</v>
      </c>
      <c r="F58" s="2">
        <f>F56*0.9</f>
        <v>119.36309232743697</v>
      </c>
      <c r="G58" s="8">
        <f t="shared" si="9"/>
        <v>5.9914036601793159E-3</v>
      </c>
      <c r="H58" s="9">
        <f t="shared" si="10"/>
        <v>983856.25887517759</v>
      </c>
      <c r="I58" s="3">
        <f t="shared" si="2"/>
        <v>98385.625887517759</v>
      </c>
      <c r="J58" s="3">
        <f t="shared" si="3"/>
        <v>4730.0781676691231</v>
      </c>
      <c r="K58" s="3">
        <f t="shared" si="4"/>
        <v>28110.178825005074</v>
      </c>
      <c r="L58" s="3">
        <f t="shared" si="5"/>
        <v>442735.31649382995</v>
      </c>
      <c r="M58" s="3" t="s">
        <v>386</v>
      </c>
      <c r="N58" s="5">
        <f t="shared" si="8"/>
        <v>13439.20886782946</v>
      </c>
    </row>
    <row r="59" spans="1:14" x14ac:dyDescent="0.4">
      <c r="A59" t="s">
        <v>321</v>
      </c>
      <c r="B59" t="str">
        <f>TRIM(_xlfn.XLOOKUP(A59,UNIDADES[UNIDADE],UNIDADES[POSICAO NASCENTE/POENTE]) &amp; " " &amp; _xlfn.XLOOKUP(A59,UNIDADES[UNIDADE],UNIDADES[POSICAO NORTE/SUL]) &amp; " " &amp; _xlfn.XLOOKUP(A59,UNIDADES[UNIDADE],UNIDADES[POSICAO INTERNO/EXTERNO]))</f>
        <v>POENTE SUL EXTERNO</v>
      </c>
      <c r="C59" s="2">
        <f>_xlfn.XLOOKUP(A59,UNIDADES[UNIDADE],UNIDADES[AREA PADRAO])</f>
        <v>83.711328110599297</v>
      </c>
      <c r="D59" s="2">
        <f>_xlfn.XLOOKUP(A59,UNIDADES[UNIDADE],UNIDADES[AREA TERRACO])</f>
        <v>0</v>
      </c>
      <c r="E59" s="1">
        <f>_xlfn.XLOOKUP(A59,UNIDADES[UNIDADE],UNIDADES[AREA CALCULO DE PRECO])</f>
        <v>83.711328110599297</v>
      </c>
      <c r="F59" s="2">
        <f>F56*0.9</f>
        <v>119.36309232743697</v>
      </c>
      <c r="G59" s="8">
        <f t="shared" si="9"/>
        <v>6.8510141342712138E-3</v>
      </c>
      <c r="H59" s="9">
        <f t="shared" si="10"/>
        <v>1125014.0230817476</v>
      </c>
      <c r="I59" s="3">
        <f t="shared" si="2"/>
        <v>112501.40230817476</v>
      </c>
      <c r="J59" s="3">
        <f t="shared" si="3"/>
        <v>5408.7212648160939</v>
      </c>
      <c r="K59" s="3">
        <f t="shared" si="4"/>
        <v>32143.257802335644</v>
      </c>
      <c r="L59" s="3">
        <f t="shared" si="5"/>
        <v>506256.31038678641</v>
      </c>
      <c r="M59" s="3" t="s">
        <v>386</v>
      </c>
      <c r="N59" s="5">
        <f t="shared" si="8"/>
        <v>13439.20886782946</v>
      </c>
    </row>
    <row r="60" spans="1:14" x14ac:dyDescent="0.4">
      <c r="A60" t="s">
        <v>318</v>
      </c>
      <c r="B60" t="str">
        <f>TRIM(_xlfn.XLOOKUP(A60,UNIDADES[UNIDADE],UNIDADES[POSICAO NASCENTE/POENTE]) &amp; " " &amp; _xlfn.XLOOKUP(A60,UNIDADES[UNIDADE],UNIDADES[POSICAO NORTE/SUL]) &amp; " " &amp; _xlfn.XLOOKUP(A60,UNIDADES[UNIDADE],UNIDADES[POSICAO INTERNO/EXTERNO]))</f>
        <v>POENTE NORTE INTERNO</v>
      </c>
      <c r="C60" s="2">
        <f>_xlfn.XLOOKUP(A60,UNIDADES[UNIDADE],UNIDADES[AREA PADRAO])</f>
        <v>53.910100000003084</v>
      </c>
      <c r="D60" s="2">
        <f>_xlfn.XLOOKUP(A60,UNIDADES[UNIDADE],UNIDADES[AREA TERRACO])</f>
        <v>0</v>
      </c>
      <c r="E60" s="1">
        <f>_xlfn.XLOOKUP(A60,UNIDADES[UNIDADE],UNIDADES[AREA CALCULO DE PRECO])</f>
        <v>53.910100000003084</v>
      </c>
      <c r="F60" s="2">
        <f>F56*0.95</f>
        <v>125.9943752345168</v>
      </c>
      <c r="G60" s="8">
        <f t="shared" si="9"/>
        <v>4.6571675694626327E-3</v>
      </c>
      <c r="H60" s="9">
        <f t="shared" si="10"/>
        <v>764759.59920703724</v>
      </c>
      <c r="I60" s="3">
        <f t="shared" si="2"/>
        <v>76475.959920703724</v>
      </c>
      <c r="J60" s="3">
        <f t="shared" si="3"/>
        <v>3676.7288423415253</v>
      </c>
      <c r="K60" s="3">
        <f t="shared" si="4"/>
        <v>21850.274263058207</v>
      </c>
      <c r="L60" s="3">
        <f t="shared" si="5"/>
        <v>344141.81964316679</v>
      </c>
      <c r="M60" s="3" t="s">
        <v>386</v>
      </c>
      <c r="N60" s="5">
        <f t="shared" si="8"/>
        <v>14185.831582708872</v>
      </c>
    </row>
    <row r="61" spans="1:14" x14ac:dyDescent="0.4">
      <c r="A61" t="s">
        <v>316</v>
      </c>
      <c r="B61" t="str">
        <f>TRIM(_xlfn.XLOOKUP(A61,UNIDADES[UNIDADE],UNIDADES[POSICAO NASCENTE/POENTE]) &amp; " " &amp; _xlfn.XLOOKUP(A61,UNIDADES[UNIDADE],UNIDADES[POSICAO NORTE/SUL]) &amp; " " &amp; _xlfn.XLOOKUP(A61,UNIDADES[UNIDADE],UNIDADES[POSICAO INTERNO/EXTERNO]))</f>
        <v>NORTE INTERNO</v>
      </c>
      <c r="C61" s="2">
        <f>_xlfn.XLOOKUP(A61,UNIDADES[UNIDADE],UNIDADES[AREA PADRAO])</f>
        <v>74.148600001545901</v>
      </c>
      <c r="D61" s="2">
        <f>_xlfn.XLOOKUP(A61,UNIDADES[UNIDADE],UNIDADES[AREA TERRACO])</f>
        <v>0</v>
      </c>
      <c r="E61" s="1">
        <f>_xlfn.XLOOKUP(A61,UNIDADES[UNIDADE],UNIDADES[AREA CALCULO DE PRECO])</f>
        <v>74.148600001545901</v>
      </c>
      <c r="F61" s="2">
        <f>F56*0.95</f>
        <v>125.9943752345168</v>
      </c>
      <c r="G61" s="8">
        <f t="shared" si="9"/>
        <v>6.4055242941162566E-3</v>
      </c>
      <c r="H61" s="9">
        <f t="shared" si="10"/>
        <v>1051859.551715577</v>
      </c>
      <c r="I61" s="3">
        <f t="shared" si="2"/>
        <v>105185.95517155771</v>
      </c>
      <c r="J61" s="3">
        <f t="shared" si="3"/>
        <v>5057.0170755556592</v>
      </c>
      <c r="K61" s="3">
        <f t="shared" si="4"/>
        <v>30053.13004901649</v>
      </c>
      <c r="L61" s="3">
        <f t="shared" si="5"/>
        <v>473336.79827200965</v>
      </c>
      <c r="M61" s="3" t="s">
        <v>386</v>
      </c>
      <c r="N61" s="5">
        <f t="shared" si="8"/>
        <v>14185.831582708874</v>
      </c>
    </row>
    <row r="62" spans="1:14" x14ac:dyDescent="0.4">
      <c r="A62" t="s">
        <v>287</v>
      </c>
      <c r="B62" t="str">
        <f>TRIM(_xlfn.XLOOKUP(A62,UNIDADES[UNIDADE],UNIDADES[POSICAO NASCENTE/POENTE]) &amp; " " &amp; _xlfn.XLOOKUP(A62,UNIDADES[UNIDADE],UNIDADES[POSICAO NORTE/SUL]) &amp; " " &amp; _xlfn.XLOOKUP(A62,UNIDADES[UNIDADE],UNIDADES[POSICAO INTERNO/EXTERNO]))</f>
        <v>NASCENTE NORTE INTERNO</v>
      </c>
      <c r="C62" s="2">
        <f>_xlfn.XLOOKUP(A62,UNIDADES[UNIDADE],UNIDADES[AREA PADRAO])</f>
        <v>107.136857496183</v>
      </c>
      <c r="D62" s="2">
        <f>_xlfn.XLOOKUP(A62,UNIDADES[UNIDADE],UNIDADES[AREA TERRACO])</f>
        <v>0</v>
      </c>
      <c r="E62" s="1">
        <f>_xlfn.XLOOKUP(A62,UNIDADES[UNIDADE],UNIDADES[AREA CALCULO DE PRECO])</f>
        <v>107.136857496183</v>
      </c>
      <c r="F62" s="2">
        <f>F56*1.01</f>
        <v>133.95191472301261</v>
      </c>
      <c r="G62" s="8">
        <f t="shared" si="9"/>
        <v>9.8398482152907366E-3</v>
      </c>
      <c r="H62" s="9">
        <f t="shared" si="10"/>
        <v>1615814.3904304714</v>
      </c>
      <c r="I62" s="3">
        <f t="shared" si="2"/>
        <v>161581.43904304714</v>
      </c>
      <c r="J62" s="3">
        <f t="shared" si="3"/>
        <v>7768.3384155311123</v>
      </c>
      <c r="K62" s="3">
        <f t="shared" si="4"/>
        <v>46166.125440870608</v>
      </c>
      <c r="L62" s="3">
        <f t="shared" si="5"/>
        <v>727116.47569371213</v>
      </c>
      <c r="M62" s="3" t="s">
        <v>386</v>
      </c>
      <c r="N62" s="5">
        <f t="shared" si="8"/>
        <v>15081.77884056417</v>
      </c>
    </row>
    <row r="63" spans="1:14" x14ac:dyDescent="0.4">
      <c r="A63" t="s">
        <v>299</v>
      </c>
      <c r="B63" t="str">
        <f>TRIM(_xlfn.XLOOKUP(A63,UNIDADES[UNIDADE],UNIDADES[POSICAO NASCENTE/POENTE]) &amp; " " &amp; _xlfn.XLOOKUP(A63,UNIDADES[UNIDADE],UNIDADES[POSICAO NORTE/SUL]) &amp; " " &amp; _xlfn.XLOOKUP(A63,UNIDADES[UNIDADE],UNIDADES[POSICAO INTERNO/EXTERNO]))</f>
        <v>NASCENTE SUL EXTERNO</v>
      </c>
      <c r="C63" s="2">
        <f>_xlfn.XLOOKUP(A63,UNIDADES[UNIDADE],UNIDADES[AREA PADRAO])</f>
        <v>106.16825</v>
      </c>
      <c r="D63" s="2">
        <f>_xlfn.XLOOKUP(A63,UNIDADES[UNIDADE],UNIDADES[AREA TERRACO])</f>
        <v>0</v>
      </c>
      <c r="E63" s="1">
        <f>_xlfn.XLOOKUP(A63,UNIDADES[UNIDADE],UNIDADES[AREA CALCULO DE PRECO])</f>
        <v>106.16825</v>
      </c>
      <c r="F63" s="2">
        <f>F62</f>
        <v>133.95191472301261</v>
      </c>
      <c r="G63" s="8">
        <f t="shared" si="9"/>
        <v>9.7508876935303058E-3</v>
      </c>
      <c r="H63" s="9">
        <f t="shared" si="10"/>
        <v>1601206.0663897272</v>
      </c>
      <c r="I63" s="3">
        <f t="shared" si="2"/>
        <v>160120.60663897273</v>
      </c>
      <c r="J63" s="3">
        <f t="shared" si="3"/>
        <v>7698.1060884121498</v>
      </c>
      <c r="K63" s="3">
        <f t="shared" si="4"/>
        <v>45748.744753992207</v>
      </c>
      <c r="L63" s="3">
        <f t="shared" si="5"/>
        <v>720542.72987537726</v>
      </c>
      <c r="M63" s="3" t="s">
        <v>386</v>
      </c>
      <c r="N63" s="5">
        <f t="shared" si="8"/>
        <v>15081.778840564171</v>
      </c>
    </row>
    <row r="64" spans="1:14" x14ac:dyDescent="0.4">
      <c r="A64" t="s">
        <v>315</v>
      </c>
      <c r="B64" t="str">
        <f>TRIM(_xlfn.XLOOKUP(A64,UNIDADES[UNIDADE],UNIDADES[POSICAO NASCENTE/POENTE]) &amp; " " &amp; _xlfn.XLOOKUP(A64,UNIDADES[UNIDADE],UNIDADES[POSICAO NORTE/SUL]) &amp; " " &amp; _xlfn.XLOOKUP(A64,UNIDADES[UNIDADE],UNIDADES[POSICAO INTERNO/EXTERNO]))</f>
        <v>SUL EXTERNO</v>
      </c>
      <c r="C64" s="2">
        <f>_xlfn.XLOOKUP(A64,UNIDADES[UNIDADE],UNIDADES[AREA PADRAO])</f>
        <v>73.431622938558206</v>
      </c>
      <c r="D64" s="2">
        <f>_xlfn.XLOOKUP(A64,UNIDADES[UNIDADE],UNIDADES[AREA TERRACO])</f>
        <v>0</v>
      </c>
      <c r="E64" s="1">
        <f>_xlfn.XLOOKUP(A64,UNIDADES[UNIDADE],UNIDADES[AREA CALCULO DE PRECO])</f>
        <v>73.431622938558206</v>
      </c>
      <c r="F64" s="2">
        <f>F62*0.9</f>
        <v>120.55672325071134</v>
      </c>
      <c r="G64" s="8">
        <f t="shared" si="9"/>
        <v>6.0698104902811379E-3</v>
      </c>
      <c r="H64" s="9">
        <f t="shared" si="10"/>
        <v>996731.54735673044</v>
      </c>
      <c r="I64" s="3">
        <f t="shared" si="2"/>
        <v>99673.154735673044</v>
      </c>
      <c r="J64" s="3">
        <f t="shared" si="3"/>
        <v>4791.9785930612043</v>
      </c>
      <c r="K64" s="3">
        <f t="shared" si="4"/>
        <v>28478.0442101923</v>
      </c>
      <c r="L64" s="3">
        <f t="shared" si="5"/>
        <v>448529.19631052873</v>
      </c>
      <c r="M64" s="3" t="s">
        <v>386</v>
      </c>
      <c r="N64" s="5">
        <f t="shared" si="8"/>
        <v>13573.600956507755</v>
      </c>
    </row>
    <row r="65" spans="1:14" x14ac:dyDescent="0.4">
      <c r="A65" t="s">
        <v>320</v>
      </c>
      <c r="B65" t="str">
        <f>TRIM(_xlfn.XLOOKUP(A65,UNIDADES[UNIDADE],UNIDADES[POSICAO NASCENTE/POENTE]) &amp; " " &amp; _xlfn.XLOOKUP(A65,UNIDADES[UNIDADE],UNIDADES[POSICAO NORTE/SUL]) &amp; " " &amp; _xlfn.XLOOKUP(A65,UNIDADES[UNIDADE],UNIDADES[POSICAO INTERNO/EXTERNO]))</f>
        <v>POENTE SUL EXTERNO</v>
      </c>
      <c r="C65" s="2">
        <f>_xlfn.XLOOKUP(A65,UNIDADES[UNIDADE],UNIDADES[AREA PADRAO])</f>
        <v>83.928650000000104</v>
      </c>
      <c r="D65" s="2">
        <f>_xlfn.XLOOKUP(A65,UNIDADES[UNIDADE],UNIDADES[AREA TERRACO])</f>
        <v>0</v>
      </c>
      <c r="E65" s="1">
        <f>_xlfn.XLOOKUP(A65,UNIDADES[UNIDADE],UNIDADES[AREA CALCULO DE PRECO])</f>
        <v>83.928650000000104</v>
      </c>
      <c r="F65" s="2">
        <f>F62*0.9</f>
        <v>120.55672325071134</v>
      </c>
      <c r="G65" s="8">
        <f t="shared" si="9"/>
        <v>6.9374879625278925E-3</v>
      </c>
      <c r="H65" s="9">
        <f t="shared" si="10"/>
        <v>1139214.0039184059</v>
      </c>
      <c r="I65" s="3">
        <f t="shared" si="2"/>
        <v>113921.40039184059</v>
      </c>
      <c r="J65" s="3">
        <f t="shared" si="3"/>
        <v>5476.990403453874</v>
      </c>
      <c r="K65" s="3">
        <f t="shared" si="4"/>
        <v>32548.971540525883</v>
      </c>
      <c r="L65" s="3">
        <f t="shared" si="5"/>
        <v>512646.30176328262</v>
      </c>
      <c r="M65" s="3" t="s">
        <v>386</v>
      </c>
      <c r="N65" s="5">
        <f t="shared" si="8"/>
        <v>13573.600956507753</v>
      </c>
    </row>
    <row r="66" spans="1:14" x14ac:dyDescent="0.4">
      <c r="A66" t="s">
        <v>319</v>
      </c>
      <c r="B66" t="str">
        <f>TRIM(_xlfn.XLOOKUP(A66,UNIDADES[UNIDADE],UNIDADES[POSICAO NASCENTE/POENTE]) &amp; " " &amp; _xlfn.XLOOKUP(A66,UNIDADES[UNIDADE],UNIDADES[POSICAO NORTE/SUL]) &amp; " " &amp; _xlfn.XLOOKUP(A66,UNIDADES[UNIDADE],UNIDADES[POSICAO INTERNO/EXTERNO]))</f>
        <v>POENTE NORTE INTERNO</v>
      </c>
      <c r="C66" s="2">
        <f>_xlfn.XLOOKUP(A66,UNIDADES[UNIDADE],UNIDADES[AREA PADRAO])</f>
        <v>50.736100000002203</v>
      </c>
      <c r="D66" s="2">
        <f>_xlfn.XLOOKUP(A66,UNIDADES[UNIDADE],UNIDADES[AREA TERRACO])</f>
        <v>0</v>
      </c>
      <c r="E66" s="1">
        <f>_xlfn.XLOOKUP(A66,UNIDADES[UNIDADE],UNIDADES[AREA CALCULO DE PRECO])</f>
        <v>50.736100000002203</v>
      </c>
      <c r="F66" s="2">
        <f>F62*0.95</f>
        <v>127.25431898686197</v>
      </c>
      <c r="G66" s="8">
        <f t="shared" ref="G66:G97" si="11">F66*E66/SUMPRODUCT(F:F,E:E)</f>
        <v>4.4268028572794329E-3</v>
      </c>
      <c r="H66" s="9">
        <f t="shared" ref="H66" si="12">G66*$P$1</f>
        <v>726931.107461142</v>
      </c>
      <c r="I66" s="3">
        <f t="shared" si="2"/>
        <v>72693.110746114209</v>
      </c>
      <c r="J66" s="3">
        <f t="shared" si="3"/>
        <v>3494.8610935631827</v>
      </c>
      <c r="K66" s="3">
        <f t="shared" si="4"/>
        <v>20769.460213175487</v>
      </c>
      <c r="L66" s="3">
        <f t="shared" si="5"/>
        <v>327118.99835751392</v>
      </c>
      <c r="M66" s="3" t="s">
        <v>386</v>
      </c>
      <c r="N66" s="5">
        <f t="shared" si="8"/>
        <v>14327.689898535962</v>
      </c>
    </row>
    <row r="67" spans="1:14" x14ac:dyDescent="0.4">
      <c r="A67" t="s">
        <v>317</v>
      </c>
      <c r="B67" t="str">
        <f>TRIM(_xlfn.XLOOKUP(A67,UNIDADES[UNIDADE],UNIDADES[POSICAO NASCENTE/POENTE]) &amp; " " &amp; _xlfn.XLOOKUP(A67,UNIDADES[UNIDADE],UNIDADES[POSICAO NORTE/SUL]) &amp; " " &amp; _xlfn.XLOOKUP(A67,UNIDADES[UNIDADE],UNIDADES[POSICAO INTERNO/EXTERNO]))</f>
        <v>NORTE INTERNO</v>
      </c>
      <c r="C67" s="2">
        <f>_xlfn.XLOOKUP(A67,UNIDADES[UNIDADE],UNIDADES[AREA PADRAO])</f>
        <v>73.377825001545801</v>
      </c>
      <c r="D67" s="2">
        <f>_xlfn.XLOOKUP(A67,UNIDADES[UNIDADE],UNIDADES[AREA TERRACO])</f>
        <v>0</v>
      </c>
      <c r="E67" s="1">
        <f>_xlfn.XLOOKUP(A67,UNIDADES[UNIDADE],UNIDADES[AREA CALCULO DE PRECO])</f>
        <v>73.377825001545801</v>
      </c>
      <c r="F67" s="2">
        <f>F62*0.95</f>
        <v>127.25431898686197</v>
      </c>
      <c r="G67" s="8">
        <f t="shared" si="11"/>
        <v>6.402328231333884E-3</v>
      </c>
      <c r="H67" s="9">
        <f t="shared" ref="H67:H130" si="13">G67*$P$1</f>
        <v>1051334.7220511874</v>
      </c>
      <c r="I67" s="3">
        <f t="shared" ref="I67:I130" si="14">H67*0.1</f>
        <v>105133.47220511874</v>
      </c>
      <c r="J67" s="3">
        <f t="shared" ref="J67:J130" si="15">H67*0.25/52</f>
        <v>5054.4938560153241</v>
      </c>
      <c r="K67" s="3">
        <f t="shared" ref="K67:K130" si="16">H67*0.2/7</f>
        <v>30038.134915748211</v>
      </c>
      <c r="L67" s="3">
        <f t="shared" ref="L67:L130" si="17">H67*0.45</f>
        <v>473100.62492303434</v>
      </c>
      <c r="M67" s="3" t="s">
        <v>386</v>
      </c>
      <c r="N67" s="5">
        <f t="shared" si="8"/>
        <v>14327.689898535964</v>
      </c>
    </row>
    <row r="68" spans="1:14" x14ac:dyDescent="0.4">
      <c r="A68" t="s">
        <v>250</v>
      </c>
      <c r="B68" t="str">
        <f>TRIM(_xlfn.XLOOKUP(A68,UNIDADES[UNIDADE],UNIDADES[POSICAO NASCENTE/POENTE]) &amp; " " &amp; _xlfn.XLOOKUP(A68,UNIDADES[UNIDADE],UNIDADES[POSICAO NORTE/SUL]) &amp; " " &amp; _xlfn.XLOOKUP(A68,UNIDADES[UNIDADE],UNIDADES[POSICAO INTERNO/EXTERNO]))</f>
        <v>NASCENTE NORTE EXTERNO</v>
      </c>
      <c r="C68" s="2">
        <f>_xlfn.XLOOKUP(A68,UNIDADES[UNIDADE],UNIDADES[AREA PADRAO])</f>
        <v>106.93295755635</v>
      </c>
      <c r="D68" s="2">
        <f>_xlfn.XLOOKUP(A68,UNIDADES[UNIDADE],UNIDADES[AREA TERRACO])</f>
        <v>0</v>
      </c>
      <c r="E68" s="1">
        <f>_xlfn.XLOOKUP(A68,UNIDADES[UNIDADE],UNIDADES[AREA CALCULO DE PRECO])</f>
        <v>106.93295755635</v>
      </c>
      <c r="F68" s="2">
        <v>100</v>
      </c>
      <c r="G68" s="8">
        <f t="shared" si="11"/>
        <v>7.3318259804906159E-3</v>
      </c>
      <c r="H68" s="9">
        <f t="shared" si="13"/>
        <v>1203968.7674246</v>
      </c>
      <c r="I68" s="3">
        <f t="shared" si="14"/>
        <v>120396.87674246001</v>
      </c>
      <c r="J68" s="3">
        <f t="shared" si="15"/>
        <v>5788.3113818490383</v>
      </c>
      <c r="K68" s="3">
        <f t="shared" si="16"/>
        <v>34399.107640702859</v>
      </c>
      <c r="L68" s="3">
        <f t="shared" si="17"/>
        <v>541785.94534106995</v>
      </c>
      <c r="M68" s="3" t="s">
        <v>386</v>
      </c>
      <c r="N68" s="5">
        <f t="shared" si="8"/>
        <v>11259.099111610652</v>
      </c>
    </row>
    <row r="69" spans="1:14" x14ac:dyDescent="0.4">
      <c r="A69" t="s">
        <v>249</v>
      </c>
      <c r="B69" t="str">
        <f>TRIM(_xlfn.XLOOKUP(A69,UNIDADES[UNIDADE],UNIDADES[POSICAO NASCENTE/POENTE]) &amp; " " &amp; _xlfn.XLOOKUP(A69,UNIDADES[UNIDADE],UNIDADES[POSICAO NORTE/SUL]) &amp; " " &amp; _xlfn.XLOOKUP(A69,UNIDADES[UNIDADE],UNIDADES[POSICAO INTERNO/EXTERNO]))</f>
        <v>NASCENTE SUL INTERNO</v>
      </c>
      <c r="C69" s="2">
        <f>_xlfn.XLOOKUP(A69,UNIDADES[UNIDADE],UNIDADES[AREA PADRAO])</f>
        <v>107.136657558349</v>
      </c>
      <c r="D69" s="2">
        <f>_xlfn.XLOOKUP(A69,UNIDADES[UNIDADE],UNIDADES[AREA TERRACO])</f>
        <v>0</v>
      </c>
      <c r="E69" s="1">
        <f>_xlfn.XLOOKUP(A69,UNIDADES[UNIDADE],UNIDADES[AREA CALCULO DE PRECO])</f>
        <v>107.136657558349</v>
      </c>
      <c r="F69" s="2">
        <v>105</v>
      </c>
      <c r="G69" s="8">
        <f t="shared" si="11"/>
        <v>7.7130822401695826E-3</v>
      </c>
      <c r="H69" s="9">
        <f t="shared" si="13"/>
        <v>1266575.3582329492</v>
      </c>
      <c r="I69" s="3">
        <f t="shared" si="14"/>
        <v>126657.53582329492</v>
      </c>
      <c r="J69" s="3">
        <f t="shared" si="15"/>
        <v>6089.304606889179</v>
      </c>
      <c r="K69" s="3">
        <f t="shared" si="16"/>
        <v>36187.867378084266</v>
      </c>
      <c r="L69" s="3">
        <f t="shared" si="17"/>
        <v>569958.91120482713</v>
      </c>
      <c r="M69" s="3" t="s">
        <v>386</v>
      </c>
      <c r="N69" s="5">
        <f t="shared" si="8"/>
        <v>11822.054067191186</v>
      </c>
    </row>
    <row r="70" spans="1:14" x14ac:dyDescent="0.4">
      <c r="A70" t="s">
        <v>248</v>
      </c>
      <c r="B70" t="str">
        <f>TRIM(_xlfn.XLOOKUP(A70,UNIDADES[UNIDADE],UNIDADES[POSICAO NASCENTE/POENTE]) &amp; " " &amp; _xlfn.XLOOKUP(A70,UNIDADES[UNIDADE],UNIDADES[POSICAO NORTE/SUL]) &amp; " " &amp; _xlfn.XLOOKUP(A70,UNIDADES[UNIDADE],UNIDADES[POSICAO INTERNO/EXTERNO]))</f>
        <v>SUL INTERNO</v>
      </c>
      <c r="C70" s="2">
        <f>_xlfn.XLOOKUP(A70,UNIDADES[UNIDADE],UNIDADES[AREA PADRAO])</f>
        <v>75.278500032637396</v>
      </c>
      <c r="D70" s="2">
        <f>_xlfn.XLOOKUP(A70,UNIDADES[UNIDADE],UNIDADES[AREA TERRACO])</f>
        <v>35.5304999463307</v>
      </c>
      <c r="E70" s="1">
        <f>_xlfn.XLOOKUP(A70,UNIDADES[UNIDADE],UNIDADES[AREA CALCULO DE PRECO])</f>
        <v>93.04375000580275</v>
      </c>
      <c r="F70" s="2">
        <f>F69*0.95</f>
        <v>99.75</v>
      </c>
      <c r="G70" s="8">
        <f t="shared" si="11"/>
        <v>6.3635678625758984E-3</v>
      </c>
      <c r="H70" s="9">
        <f t="shared" si="13"/>
        <v>1044969.8310236793</v>
      </c>
      <c r="I70" s="3">
        <f t="shared" si="14"/>
        <v>104496.98310236794</v>
      </c>
      <c r="J70" s="3">
        <f t="shared" si="15"/>
        <v>5023.8934183830734</v>
      </c>
      <c r="K70" s="3">
        <f t="shared" si="16"/>
        <v>29856.280886390839</v>
      </c>
      <c r="L70" s="3">
        <f t="shared" si="17"/>
        <v>470236.42396065569</v>
      </c>
      <c r="M70" s="3" t="s">
        <v>386</v>
      </c>
      <c r="N70" s="5">
        <f t="shared" si="8"/>
        <v>11230.951363831628</v>
      </c>
    </row>
    <row r="71" spans="1:14" x14ac:dyDescent="0.4">
      <c r="A71" t="s">
        <v>247</v>
      </c>
      <c r="B71" t="str">
        <f>TRIM(_xlfn.XLOOKUP(A71,UNIDADES[UNIDADE],UNIDADES[POSICAO NASCENTE/POENTE]) &amp; " " &amp; _xlfn.XLOOKUP(A71,UNIDADES[UNIDADE],UNIDADES[POSICAO NORTE/SUL]) &amp; " " &amp; _xlfn.XLOOKUP(A71,UNIDADES[UNIDADE],UNIDADES[POSICAO INTERNO/EXTERNO]))</f>
        <v>SUL INTERNO</v>
      </c>
      <c r="C71" s="2">
        <f>_xlfn.XLOOKUP(A71,UNIDADES[UNIDADE],UNIDADES[AREA PADRAO])</f>
        <v>54.363999992385303</v>
      </c>
      <c r="D71" s="2">
        <f>_xlfn.XLOOKUP(A71,UNIDADES[UNIDADE],UNIDADES[AREA TERRACO])</f>
        <v>23.280000000000602</v>
      </c>
      <c r="E71" s="1">
        <f>_xlfn.XLOOKUP(A71,UNIDADES[UNIDADE],UNIDADES[AREA CALCULO DE PRECO])</f>
        <v>66.003999992385602</v>
      </c>
      <c r="F71" s="2">
        <f>F69*0.95</f>
        <v>99.75</v>
      </c>
      <c r="G71" s="8">
        <f t="shared" si="11"/>
        <v>4.5142304897084424E-3</v>
      </c>
      <c r="H71" s="9">
        <f t="shared" si="13"/>
        <v>741287.71373282571</v>
      </c>
      <c r="I71" s="3">
        <f t="shared" si="14"/>
        <v>74128.77137328258</v>
      </c>
      <c r="J71" s="3">
        <f t="shared" si="15"/>
        <v>3563.8832391001238</v>
      </c>
      <c r="K71" s="3">
        <f t="shared" si="16"/>
        <v>21179.648963795022</v>
      </c>
      <c r="L71" s="3">
        <f t="shared" si="17"/>
        <v>333579.47117977159</v>
      </c>
      <c r="M71" s="3" t="s">
        <v>386</v>
      </c>
      <c r="N71" s="5">
        <f t="shared" si="8"/>
        <v>11230.951363831626</v>
      </c>
    </row>
    <row r="72" spans="1:14" x14ac:dyDescent="0.4">
      <c r="A72" t="s">
        <v>246</v>
      </c>
      <c r="B72" t="str">
        <f>TRIM(_xlfn.XLOOKUP(A72,UNIDADES[UNIDADE],UNIDADES[POSICAO NASCENTE/POENTE]) &amp; " " &amp; _xlfn.XLOOKUP(A72,UNIDADES[UNIDADE],UNIDADES[POSICAO NORTE/SUL]) &amp; " " &amp; _xlfn.XLOOKUP(A72,UNIDADES[UNIDADE],UNIDADES[POSICAO INTERNO/EXTERNO]))</f>
        <v>POENTE SUL INTERNO</v>
      </c>
      <c r="C72" s="2">
        <f>_xlfn.XLOOKUP(A72,UNIDADES[UNIDADE],UNIDADES[AREA PADRAO])</f>
        <v>59.501049999999999</v>
      </c>
      <c r="D72" s="2">
        <f>_xlfn.XLOOKUP(A72,UNIDADES[UNIDADE],UNIDADES[AREA TERRACO])</f>
        <v>0</v>
      </c>
      <c r="E72" s="1">
        <f>_xlfn.XLOOKUP(A72,UNIDADES[UNIDADE],UNIDADES[AREA CALCULO DE PRECO])</f>
        <v>59.501049999999999</v>
      </c>
      <c r="F72" s="2">
        <f>F69*0.95</f>
        <v>99.75</v>
      </c>
      <c r="G72" s="8">
        <f t="shared" si="11"/>
        <v>4.069472366987654E-3</v>
      </c>
      <c r="H72" s="9">
        <f t="shared" si="13"/>
        <v>668253.39864691382</v>
      </c>
      <c r="I72" s="3">
        <f t="shared" si="14"/>
        <v>66825.339864691385</v>
      </c>
      <c r="J72" s="3">
        <f t="shared" si="15"/>
        <v>3212.7567242640089</v>
      </c>
      <c r="K72" s="3">
        <f t="shared" si="16"/>
        <v>19092.95424705468</v>
      </c>
      <c r="L72" s="3">
        <f t="shared" si="17"/>
        <v>300714.02939111122</v>
      </c>
      <c r="M72" s="3" t="s">
        <v>386</v>
      </c>
      <c r="N72" s="5">
        <f t="shared" si="8"/>
        <v>11230.951363831628</v>
      </c>
    </row>
    <row r="73" spans="1:14" x14ac:dyDescent="0.4">
      <c r="A73" t="s">
        <v>245</v>
      </c>
      <c r="B73" t="str">
        <f>TRIM(_xlfn.XLOOKUP(A73,UNIDADES[UNIDADE],UNIDADES[POSICAO NASCENTE/POENTE]) &amp; " " &amp; _xlfn.XLOOKUP(A73,UNIDADES[UNIDADE],UNIDADES[POSICAO NORTE/SUL]) &amp; " " &amp; _xlfn.XLOOKUP(A73,UNIDADES[UNIDADE],UNIDADES[POSICAO INTERNO/EXTERNO]))</f>
        <v>POENTE NORTE EXTERNO</v>
      </c>
      <c r="C73" s="2">
        <f>_xlfn.XLOOKUP(A73,UNIDADES[UNIDADE],UNIDADES[AREA PADRAO])</f>
        <v>63.803425320230403</v>
      </c>
      <c r="D73" s="2">
        <f>_xlfn.XLOOKUP(A73,UNIDADES[UNIDADE],UNIDADES[AREA TERRACO])</f>
        <v>59.673525104849197</v>
      </c>
      <c r="E73" s="1">
        <f>_xlfn.XLOOKUP(A73,UNIDADES[UNIDADE],UNIDADES[AREA CALCULO DE PRECO])</f>
        <v>93.640187872655005</v>
      </c>
      <c r="F73" s="2">
        <f>F68*0.9</f>
        <v>90</v>
      </c>
      <c r="G73" s="8">
        <f t="shared" si="11"/>
        <v>5.7783701129828719E-3</v>
      </c>
      <c r="H73" s="9">
        <f t="shared" si="13"/>
        <v>948873.74047925812</v>
      </c>
      <c r="I73" s="3">
        <f t="shared" si="14"/>
        <v>94887.374047925812</v>
      </c>
      <c r="J73" s="3">
        <f t="shared" si="15"/>
        <v>4561.8929830733559</v>
      </c>
      <c r="K73" s="3">
        <f t="shared" si="16"/>
        <v>27110.678299407376</v>
      </c>
      <c r="L73" s="3">
        <f t="shared" si="17"/>
        <v>426993.18321566615</v>
      </c>
      <c r="M73" s="3" t="s">
        <v>386</v>
      </c>
      <c r="N73" s="5">
        <f t="shared" si="8"/>
        <v>10133.189200449588</v>
      </c>
    </row>
    <row r="74" spans="1:14" x14ac:dyDescent="0.4">
      <c r="A74" t="s">
        <v>330</v>
      </c>
      <c r="B74" t="str">
        <f>TRIM(_xlfn.XLOOKUP(A74,UNIDADES[UNIDADE],UNIDADES[POSICAO NASCENTE/POENTE]) &amp; " " &amp; _xlfn.XLOOKUP(A74,UNIDADES[UNIDADE],UNIDADES[POSICAO NORTE/SUL]) &amp; " " &amp; _xlfn.XLOOKUP(A74,UNIDADES[UNIDADE],UNIDADES[POSICAO INTERNO/EXTERNO]))</f>
        <v>NORTE EXTERNO</v>
      </c>
      <c r="C74" s="2">
        <f>_xlfn.XLOOKUP(A74,UNIDADES[UNIDADE],UNIDADES[AREA PADRAO])</f>
        <v>57.580400001903698</v>
      </c>
      <c r="D74" s="2">
        <f>_xlfn.XLOOKUP(A74,UNIDADES[UNIDADE],UNIDADES[AREA TERRACO])</f>
        <v>0</v>
      </c>
      <c r="E74" s="1">
        <f>_xlfn.XLOOKUP(A74,UNIDADES[UNIDADE],UNIDADES[AREA CALCULO DE PRECO])</f>
        <v>57.580400001903698</v>
      </c>
      <c r="F74" s="2">
        <f>F68*0.9</f>
        <v>90</v>
      </c>
      <c r="G74" s="8">
        <f t="shared" si="11"/>
        <v>3.5531844822554127E-3</v>
      </c>
      <c r="H74" s="9">
        <f t="shared" si="13"/>
        <v>583473.08745685802</v>
      </c>
      <c r="I74" s="3">
        <f t="shared" si="14"/>
        <v>58347.308745685805</v>
      </c>
      <c r="J74" s="3">
        <f t="shared" si="15"/>
        <v>2805.1590743118172</v>
      </c>
      <c r="K74" s="3">
        <f t="shared" si="16"/>
        <v>16670.659641624516</v>
      </c>
      <c r="L74" s="3">
        <f t="shared" si="17"/>
        <v>262562.88935558614</v>
      </c>
      <c r="M74" s="3" t="s">
        <v>386</v>
      </c>
      <c r="N74" s="5">
        <f t="shared" ref="N74:N137" si="18">H74/E74</f>
        <v>10133.189200449589</v>
      </c>
    </row>
    <row r="75" spans="1:14" x14ac:dyDescent="0.4">
      <c r="A75" t="s">
        <v>228</v>
      </c>
      <c r="B75" t="str">
        <f>TRIM(_xlfn.XLOOKUP(A75,UNIDADES[UNIDADE],UNIDADES[POSICAO NASCENTE/POENTE]) &amp; " " &amp; _xlfn.XLOOKUP(A75,UNIDADES[UNIDADE],UNIDADES[POSICAO NORTE/SUL]) &amp; " " &amp; _xlfn.XLOOKUP(A75,UNIDADES[UNIDADE],UNIDADES[POSICAO INTERNO/EXTERNO]))</f>
        <v>NASCENTE NORTE EXTERNO</v>
      </c>
      <c r="C75" s="2">
        <f>_xlfn.XLOOKUP(A75,UNIDADES[UNIDADE],UNIDADES[AREA PADRAO])</f>
        <v>107.76375755900401</v>
      </c>
      <c r="D75" s="2">
        <f>_xlfn.XLOOKUP(A75,UNIDADES[UNIDADE],UNIDADES[AREA TERRACO])</f>
        <v>0</v>
      </c>
      <c r="E75" s="1">
        <f>_xlfn.XLOOKUP(A75,UNIDADES[UNIDADE],UNIDADES[AREA CALCULO DE PRECO])</f>
        <v>107.76375755900401</v>
      </c>
      <c r="F75" s="2">
        <f>F68*1.1</f>
        <v>110.00000000000001</v>
      </c>
      <c r="G75" s="8">
        <f t="shared" si="11"/>
        <v>8.1276684852847475E-3</v>
      </c>
      <c r="H75" s="9">
        <f t="shared" si="13"/>
        <v>1334655.1096960488</v>
      </c>
      <c r="I75" s="3">
        <f t="shared" si="14"/>
        <v>133465.51096960489</v>
      </c>
      <c r="J75" s="3">
        <f t="shared" si="15"/>
        <v>6416.6111043079272</v>
      </c>
      <c r="K75" s="3">
        <f t="shared" si="16"/>
        <v>38133.003134172825</v>
      </c>
      <c r="L75" s="3">
        <f t="shared" si="17"/>
        <v>600594.79936322197</v>
      </c>
      <c r="M75" s="3" t="s">
        <v>386</v>
      </c>
      <c r="N75" s="5">
        <f t="shared" si="18"/>
        <v>12385.009022771721</v>
      </c>
    </row>
    <row r="76" spans="1:14" x14ac:dyDescent="0.4">
      <c r="A76" t="s">
        <v>229</v>
      </c>
      <c r="B76" t="str">
        <f>TRIM(_xlfn.XLOOKUP(A76,UNIDADES[UNIDADE],UNIDADES[POSICAO NASCENTE/POENTE]) &amp; " " &amp; _xlfn.XLOOKUP(A76,UNIDADES[UNIDADE],UNIDADES[POSICAO NORTE/SUL]) &amp; " " &amp; _xlfn.XLOOKUP(A76,UNIDADES[UNIDADE],UNIDADES[POSICAO INTERNO/EXTERNO]))</f>
        <v>NASCENTE SUL INTERNO</v>
      </c>
      <c r="C76" s="2">
        <f>_xlfn.XLOOKUP(A76,UNIDADES[UNIDADE],UNIDADES[AREA PADRAO])</f>
        <v>107.333257557005</v>
      </c>
      <c r="D76" s="2">
        <f>_xlfn.XLOOKUP(A76,UNIDADES[UNIDADE],UNIDADES[AREA TERRACO])</f>
        <v>0</v>
      </c>
      <c r="E76" s="1">
        <f>_xlfn.XLOOKUP(A76,UNIDADES[UNIDADE],UNIDADES[AREA CALCULO DE PRECO])</f>
        <v>107.333257557005</v>
      </c>
      <c r="F76" s="2">
        <f>F69*1.1</f>
        <v>115.50000000000001</v>
      </c>
      <c r="G76" s="8">
        <f t="shared" si="11"/>
        <v>8.4999596558327124E-3</v>
      </c>
      <c r="H76" s="9">
        <f t="shared" si="13"/>
        <v>1395789.5314513373</v>
      </c>
      <c r="I76" s="3">
        <f t="shared" si="14"/>
        <v>139578.95314513374</v>
      </c>
      <c r="J76" s="3">
        <f t="shared" si="15"/>
        <v>6710.5265935160442</v>
      </c>
      <c r="K76" s="3">
        <f t="shared" si="16"/>
        <v>39879.700898609641</v>
      </c>
      <c r="L76" s="3">
        <f t="shared" si="17"/>
        <v>628105.28915310174</v>
      </c>
      <c r="M76" s="3" t="s">
        <v>386</v>
      </c>
      <c r="N76" s="5">
        <f t="shared" si="18"/>
        <v>13004.259473910306</v>
      </c>
    </row>
    <row r="77" spans="1:14" x14ac:dyDescent="0.4">
      <c r="A77" t="s">
        <v>230</v>
      </c>
      <c r="B77" t="str">
        <f>TRIM(_xlfn.XLOOKUP(A77,UNIDADES[UNIDADE],UNIDADES[POSICAO NASCENTE/POENTE]) &amp; " " &amp; _xlfn.XLOOKUP(A77,UNIDADES[UNIDADE],UNIDADES[POSICAO NORTE/SUL]) &amp; " " &amp; _xlfn.XLOOKUP(A77,UNIDADES[UNIDADE],UNIDADES[POSICAO INTERNO/EXTERNO]))</f>
        <v>SUL INTERNO</v>
      </c>
      <c r="C77" s="2">
        <f>_xlfn.XLOOKUP(A77,UNIDADES[UNIDADE],UNIDADES[AREA PADRAO])</f>
        <v>75.988299987721106</v>
      </c>
      <c r="D77" s="2">
        <f>_xlfn.XLOOKUP(A77,UNIDADES[UNIDADE],UNIDADES[AREA TERRACO])</f>
        <v>0</v>
      </c>
      <c r="E77" s="1">
        <f>_xlfn.XLOOKUP(A77,UNIDADES[UNIDADE],UNIDADES[AREA CALCULO DE PRECO])</f>
        <v>75.988299987721106</v>
      </c>
      <c r="F77" s="2">
        <f>F76*0.95</f>
        <v>109.72500000000001</v>
      </c>
      <c r="G77" s="8">
        <f t="shared" si="11"/>
        <v>5.7167985391155165E-3</v>
      </c>
      <c r="H77" s="9">
        <f t="shared" si="13"/>
        <v>938762.99152057758</v>
      </c>
      <c r="I77" s="3">
        <f t="shared" si="14"/>
        <v>93876.299152057763</v>
      </c>
      <c r="J77" s="3">
        <f t="shared" si="15"/>
        <v>4513.2836130796995</v>
      </c>
      <c r="K77" s="3">
        <f t="shared" si="16"/>
        <v>26821.799757730791</v>
      </c>
      <c r="L77" s="3">
        <f t="shared" si="17"/>
        <v>422443.34618425992</v>
      </c>
      <c r="M77" s="3" t="s">
        <v>386</v>
      </c>
      <c r="N77" s="5">
        <f t="shared" si="18"/>
        <v>12354.04650021479</v>
      </c>
    </row>
    <row r="78" spans="1:14" x14ac:dyDescent="0.4">
      <c r="A78" t="s">
        <v>231</v>
      </c>
      <c r="B78" t="str">
        <f>TRIM(_xlfn.XLOOKUP(A78,UNIDADES[UNIDADE],UNIDADES[POSICAO NASCENTE/POENTE]) &amp; " " &amp; _xlfn.XLOOKUP(A78,UNIDADES[UNIDADE],UNIDADES[POSICAO NORTE/SUL]) &amp; " " &amp; _xlfn.XLOOKUP(A78,UNIDADES[UNIDADE],UNIDADES[POSICAO INTERNO/EXTERNO]))</f>
        <v>SUL INTERNO</v>
      </c>
      <c r="C78" s="2">
        <f>_xlfn.XLOOKUP(A78,UNIDADES[UNIDADE],UNIDADES[AREA PADRAO])</f>
        <v>54.312999998096998</v>
      </c>
      <c r="D78" s="2">
        <f>_xlfn.XLOOKUP(A78,UNIDADES[UNIDADE],UNIDADES[AREA TERRACO])</f>
        <v>0</v>
      </c>
      <c r="E78" s="1">
        <f>_xlfn.XLOOKUP(A78,UNIDADES[UNIDADE],UNIDADES[AREA CALCULO DE PRECO])</f>
        <v>54.312999998096998</v>
      </c>
      <c r="F78" s="2">
        <f>F76*0.95</f>
        <v>109.72500000000001</v>
      </c>
      <c r="G78" s="8">
        <f t="shared" si="11"/>
        <v>4.0861090338154011E-3</v>
      </c>
      <c r="H78" s="9">
        <f t="shared" si="13"/>
        <v>670985.3275426561</v>
      </c>
      <c r="I78" s="3">
        <f t="shared" si="14"/>
        <v>67098.532754265616</v>
      </c>
      <c r="J78" s="3">
        <f t="shared" si="15"/>
        <v>3225.8909978012312</v>
      </c>
      <c r="K78" s="3">
        <f t="shared" si="16"/>
        <v>19171.009358361604</v>
      </c>
      <c r="L78" s="3">
        <f t="shared" si="17"/>
        <v>301943.39739419526</v>
      </c>
      <c r="M78" s="3" t="s">
        <v>386</v>
      </c>
      <c r="N78" s="5">
        <f t="shared" si="18"/>
        <v>12354.04650021479</v>
      </c>
    </row>
    <row r="79" spans="1:14" x14ac:dyDescent="0.4">
      <c r="A79" t="s">
        <v>232</v>
      </c>
      <c r="B79" t="str">
        <f>TRIM(_xlfn.XLOOKUP(A79,UNIDADES[UNIDADE],UNIDADES[POSICAO NASCENTE/POENTE]) &amp; " " &amp; _xlfn.XLOOKUP(A79,UNIDADES[UNIDADE],UNIDADES[POSICAO NORTE/SUL]) &amp; " " &amp; _xlfn.XLOOKUP(A79,UNIDADES[UNIDADE],UNIDADES[POSICAO INTERNO/EXTERNO]))</f>
        <v>POENTE SUL INTERNO</v>
      </c>
      <c r="C79" s="2">
        <f>_xlfn.XLOOKUP(A79,UNIDADES[UNIDADE],UNIDADES[AREA PADRAO])</f>
        <v>59.500987689683299</v>
      </c>
      <c r="D79" s="2">
        <f>_xlfn.XLOOKUP(A79,UNIDADES[UNIDADE],UNIDADES[AREA TERRACO])</f>
        <v>0</v>
      </c>
      <c r="E79" s="1">
        <f>_xlfn.XLOOKUP(A79,UNIDADES[UNIDADE],UNIDADES[AREA CALCULO DE PRECO])</f>
        <v>59.500987689683299</v>
      </c>
      <c r="F79" s="2">
        <f>F76*0.95</f>
        <v>109.72500000000001</v>
      </c>
      <c r="G79" s="8">
        <f t="shared" si="11"/>
        <v>4.4764149159183348E-3</v>
      </c>
      <c r="H79" s="9">
        <f t="shared" si="13"/>
        <v>735077.96872705524</v>
      </c>
      <c r="I79" s="3">
        <f t="shared" si="14"/>
        <v>73507.796872705527</v>
      </c>
      <c r="J79" s="3">
        <f t="shared" si="15"/>
        <v>3534.0286958031502</v>
      </c>
      <c r="K79" s="3">
        <f t="shared" si="16"/>
        <v>21002.227677915864</v>
      </c>
      <c r="L79" s="3">
        <f t="shared" si="17"/>
        <v>330785.08592717489</v>
      </c>
      <c r="M79" s="3" t="s">
        <v>386</v>
      </c>
      <c r="N79" s="5">
        <f t="shared" si="18"/>
        <v>12354.04650021479</v>
      </c>
    </row>
    <row r="80" spans="1:14" x14ac:dyDescent="0.4">
      <c r="A80" t="s">
        <v>233</v>
      </c>
      <c r="B80" t="str">
        <f>TRIM(_xlfn.XLOOKUP(A80,UNIDADES[UNIDADE],UNIDADES[POSICAO NASCENTE/POENTE]) &amp; " " &amp; _xlfn.XLOOKUP(A80,UNIDADES[UNIDADE],UNIDADES[POSICAO NORTE/SUL]) &amp; " " &amp; _xlfn.XLOOKUP(A80,UNIDADES[UNIDADE],UNIDADES[POSICAO INTERNO/EXTERNO]))</f>
        <v>POENTE NORTE EXTERNO</v>
      </c>
      <c r="C80" s="2">
        <f>_xlfn.XLOOKUP(A80,UNIDADES[UNIDADE],UNIDADES[AREA PADRAO])</f>
        <v>58.913550312519497</v>
      </c>
      <c r="D80" s="2">
        <f>_xlfn.XLOOKUP(A80,UNIDADES[UNIDADE],UNIDADES[AREA TERRACO])</f>
        <v>0</v>
      </c>
      <c r="E80" s="1">
        <f>_xlfn.XLOOKUP(A80,UNIDADES[UNIDADE],UNIDADES[AREA CALCULO DE PRECO])</f>
        <v>58.913550312519497</v>
      </c>
      <c r="F80" s="2">
        <f>F75*0.9</f>
        <v>99.000000000000014</v>
      </c>
      <c r="G80" s="8">
        <f t="shared" si="11"/>
        <v>3.9989959089187762E-3</v>
      </c>
      <c r="H80" s="9">
        <f t="shared" si="13"/>
        <v>656680.36696566269</v>
      </c>
      <c r="I80" s="3">
        <f t="shared" si="14"/>
        <v>65668.036696566269</v>
      </c>
      <c r="J80" s="3">
        <f t="shared" si="15"/>
        <v>3157.1171488733785</v>
      </c>
      <c r="K80" s="3">
        <f t="shared" si="16"/>
        <v>18762.296199018932</v>
      </c>
      <c r="L80" s="3">
        <f t="shared" si="17"/>
        <v>295506.16513454821</v>
      </c>
      <c r="M80" s="3" t="s">
        <v>386</v>
      </c>
      <c r="N80" s="5">
        <f t="shared" si="18"/>
        <v>11146.508120494547</v>
      </c>
    </row>
    <row r="81" spans="1:14" x14ac:dyDescent="0.4">
      <c r="A81" t="s">
        <v>331</v>
      </c>
      <c r="B81" t="str">
        <f>TRIM(_xlfn.XLOOKUP(A81,UNIDADES[UNIDADE],UNIDADES[POSICAO NASCENTE/POENTE]) &amp; " " &amp; _xlfn.XLOOKUP(A81,UNIDADES[UNIDADE],UNIDADES[POSICAO NORTE/SUL]) &amp; " " &amp; _xlfn.XLOOKUP(A81,UNIDADES[UNIDADE],UNIDADES[POSICAO INTERNO/EXTERNO]))</f>
        <v>NORTE EXTERNO</v>
      </c>
      <c r="C81" s="2">
        <f>_xlfn.XLOOKUP(A81,UNIDADES[UNIDADE],UNIDADES[AREA PADRAO])</f>
        <v>48.827200057960503</v>
      </c>
      <c r="D81" s="2">
        <f>_xlfn.XLOOKUP(A81,UNIDADES[UNIDADE],UNIDADES[AREA TERRACO])</f>
        <v>0</v>
      </c>
      <c r="E81" s="1">
        <f>_xlfn.XLOOKUP(A81,UNIDADES[UNIDADE],UNIDADES[AREA CALCULO DE PRECO])</f>
        <v>48.827200057960503</v>
      </c>
      <c r="F81" s="2">
        <f>F75*0.95</f>
        <v>104.50000000000001</v>
      </c>
      <c r="G81" s="8">
        <f t="shared" si="11"/>
        <v>3.498474245133539E-3</v>
      </c>
      <c r="H81" s="9">
        <f t="shared" si="13"/>
        <v>574489.04761079466</v>
      </c>
      <c r="I81" s="3">
        <f t="shared" si="14"/>
        <v>57448.904761079466</v>
      </c>
      <c r="J81" s="3">
        <f t="shared" si="15"/>
        <v>2761.9665750518975</v>
      </c>
      <c r="K81" s="3">
        <f t="shared" si="16"/>
        <v>16413.972788879848</v>
      </c>
      <c r="L81" s="3">
        <f t="shared" si="17"/>
        <v>258520.0714248576</v>
      </c>
      <c r="M81" s="3" t="s">
        <v>386</v>
      </c>
      <c r="N81" s="5">
        <f t="shared" si="18"/>
        <v>11765.758571633134</v>
      </c>
    </row>
    <row r="82" spans="1:14" x14ac:dyDescent="0.4">
      <c r="A82" t="s">
        <v>332</v>
      </c>
      <c r="B82" t="str">
        <f>TRIM(_xlfn.XLOOKUP(A82,UNIDADES[UNIDADE],UNIDADES[POSICAO NASCENTE/POENTE]) &amp; " " &amp; _xlfn.XLOOKUP(A82,UNIDADES[UNIDADE],UNIDADES[POSICAO NORTE/SUL]) &amp; " " &amp; _xlfn.XLOOKUP(A82,UNIDADES[UNIDADE],UNIDADES[POSICAO INTERNO/EXTERNO]))</f>
        <v>NORTE EXTERNO</v>
      </c>
      <c r="C82" s="2">
        <f>_xlfn.XLOOKUP(A82,UNIDADES[UNIDADE],UNIDADES[AREA PADRAO])</f>
        <v>48.566399941747498</v>
      </c>
      <c r="D82" s="2">
        <f>_xlfn.XLOOKUP(A82,UNIDADES[UNIDADE],UNIDADES[AREA TERRACO])</f>
        <v>0</v>
      </c>
      <c r="E82" s="1">
        <f>_xlfn.XLOOKUP(A82,UNIDADES[UNIDADE],UNIDADES[AREA CALCULO DE PRECO])</f>
        <v>48.566399941747498</v>
      </c>
      <c r="F82" s="2">
        <f>F75*0.95</f>
        <v>104.50000000000001</v>
      </c>
      <c r="G82" s="8">
        <f t="shared" si="11"/>
        <v>3.4797878881723376E-3</v>
      </c>
      <c r="H82" s="9">
        <f t="shared" si="13"/>
        <v>571420.53640797862</v>
      </c>
      <c r="I82" s="3">
        <f t="shared" si="14"/>
        <v>57142.053640797865</v>
      </c>
      <c r="J82" s="3">
        <f t="shared" si="15"/>
        <v>2747.2141173460509</v>
      </c>
      <c r="K82" s="3">
        <f t="shared" si="16"/>
        <v>16326.301040227961</v>
      </c>
      <c r="L82" s="3">
        <f t="shared" si="17"/>
        <v>257139.24138359039</v>
      </c>
      <c r="M82" s="3" t="s">
        <v>386</v>
      </c>
      <c r="N82" s="5">
        <f t="shared" si="18"/>
        <v>11765.758571633136</v>
      </c>
    </row>
    <row r="83" spans="1:14" x14ac:dyDescent="0.4">
      <c r="A83" t="s">
        <v>333</v>
      </c>
      <c r="B83" t="str">
        <f>TRIM(_xlfn.XLOOKUP(A83,UNIDADES[UNIDADE],UNIDADES[POSICAO NASCENTE/POENTE]) &amp; " " &amp; _xlfn.XLOOKUP(A83,UNIDADES[UNIDADE],UNIDADES[POSICAO NORTE/SUL]) &amp; " " &amp; _xlfn.XLOOKUP(A83,UNIDADES[UNIDADE],UNIDADES[POSICAO INTERNO/EXTERNO]))</f>
        <v>NORTE EXTERNO</v>
      </c>
      <c r="C83" s="2">
        <f>_xlfn.XLOOKUP(A83,UNIDADES[UNIDADE],UNIDADES[AREA PADRAO])</f>
        <v>56.968400000000202</v>
      </c>
      <c r="D83" s="2">
        <f>_xlfn.XLOOKUP(A83,UNIDADES[UNIDADE],UNIDADES[AREA TERRACO])</f>
        <v>0</v>
      </c>
      <c r="E83" s="1">
        <f>_xlfn.XLOOKUP(A83,UNIDADES[UNIDADE],UNIDADES[AREA CALCULO DE PRECO])</f>
        <v>56.968400000000202</v>
      </c>
      <c r="F83" s="2">
        <f>F75*0.9</f>
        <v>99.000000000000014</v>
      </c>
      <c r="G83" s="8">
        <f t="shared" si="11"/>
        <v>3.8669609509043084E-3</v>
      </c>
      <c r="H83" s="9">
        <f t="shared" si="13"/>
        <v>634998.73321158381</v>
      </c>
      <c r="I83" s="3">
        <f t="shared" si="14"/>
        <v>63499.873321158382</v>
      </c>
      <c r="J83" s="3">
        <f t="shared" si="15"/>
        <v>3052.8785250556912</v>
      </c>
      <c r="K83" s="3">
        <f t="shared" si="16"/>
        <v>18142.820948902394</v>
      </c>
      <c r="L83" s="3">
        <f t="shared" si="17"/>
        <v>285749.42994521273</v>
      </c>
      <c r="M83" s="3" t="s">
        <v>386</v>
      </c>
      <c r="N83" s="5">
        <f t="shared" si="18"/>
        <v>11146.508120494547</v>
      </c>
    </row>
    <row r="84" spans="1:14" x14ac:dyDescent="0.4">
      <c r="A84" t="s">
        <v>227</v>
      </c>
      <c r="B84" t="str">
        <f>TRIM(_xlfn.XLOOKUP(A84,UNIDADES[UNIDADE],UNIDADES[POSICAO NASCENTE/POENTE]) &amp; " " &amp; _xlfn.XLOOKUP(A84,UNIDADES[UNIDADE],UNIDADES[POSICAO NORTE/SUL]) &amp; " " &amp; _xlfn.XLOOKUP(A84,UNIDADES[UNIDADE],UNIDADES[POSICAO INTERNO/EXTERNO]))</f>
        <v>NASCENTE NORTE EXTERNO</v>
      </c>
      <c r="C84" s="2">
        <f>_xlfn.XLOOKUP(A84,UNIDADES[UNIDADE],UNIDADES[AREA PADRAO])</f>
        <v>106.93295755635</v>
      </c>
      <c r="D84" s="2">
        <f>_xlfn.XLOOKUP(A84,UNIDADES[UNIDADE],UNIDADES[AREA TERRACO])</f>
        <v>0</v>
      </c>
      <c r="E84" s="1">
        <f>_xlfn.XLOOKUP(A84,UNIDADES[UNIDADE],UNIDADES[AREA CALCULO DE PRECO])</f>
        <v>106.93295755635</v>
      </c>
      <c r="F84" s="2">
        <f>F75*1.05</f>
        <v>115.50000000000001</v>
      </c>
      <c r="G84" s="8">
        <f t="shared" si="11"/>
        <v>8.4682590074666615E-3</v>
      </c>
      <c r="H84" s="9">
        <f t="shared" si="13"/>
        <v>1390583.9263754131</v>
      </c>
      <c r="I84" s="3">
        <f t="shared" si="14"/>
        <v>139058.39263754131</v>
      </c>
      <c r="J84" s="3">
        <f t="shared" si="15"/>
        <v>6685.4996460356397</v>
      </c>
      <c r="K84" s="3">
        <f t="shared" si="16"/>
        <v>39730.969325011807</v>
      </c>
      <c r="L84" s="3">
        <f t="shared" si="17"/>
        <v>625762.7668689359</v>
      </c>
      <c r="M84" s="3" t="s">
        <v>386</v>
      </c>
      <c r="N84" s="5">
        <f t="shared" si="18"/>
        <v>13004.259473910304</v>
      </c>
    </row>
    <row r="85" spans="1:14" x14ac:dyDescent="0.4">
      <c r="A85" t="s">
        <v>226</v>
      </c>
      <c r="B85" t="str">
        <f>TRIM(_xlfn.XLOOKUP(A85,UNIDADES[UNIDADE],UNIDADES[POSICAO NASCENTE/POENTE]) &amp; " " &amp; _xlfn.XLOOKUP(A85,UNIDADES[UNIDADE],UNIDADES[POSICAO NORTE/SUL]) &amp; " " &amp; _xlfn.XLOOKUP(A85,UNIDADES[UNIDADE],UNIDADES[POSICAO INTERNO/EXTERNO]))</f>
        <v>NASCENTE SUL INTERNO</v>
      </c>
      <c r="C85" s="2">
        <f>_xlfn.XLOOKUP(A85,UNIDADES[UNIDADE],UNIDADES[AREA PADRAO])</f>
        <v>107.136657558349</v>
      </c>
      <c r="D85" s="2">
        <f>_xlfn.XLOOKUP(A85,UNIDADES[UNIDADE],UNIDADES[AREA TERRACO])</f>
        <v>0</v>
      </c>
      <c r="E85" s="1">
        <f>_xlfn.XLOOKUP(A85,UNIDADES[UNIDADE],UNIDADES[AREA CALCULO DE PRECO])</f>
        <v>107.136657558349</v>
      </c>
      <c r="F85" s="2">
        <f>F76*1.05</f>
        <v>121.27500000000002</v>
      </c>
      <c r="G85" s="8">
        <f t="shared" si="11"/>
        <v>8.9086099873958696E-3</v>
      </c>
      <c r="H85" s="9">
        <f t="shared" si="13"/>
        <v>1462894.5387590565</v>
      </c>
      <c r="I85" s="3">
        <f t="shared" si="14"/>
        <v>146289.45387590566</v>
      </c>
      <c r="J85" s="3">
        <f t="shared" si="15"/>
        <v>7033.1468209570021</v>
      </c>
      <c r="K85" s="3">
        <f t="shared" si="16"/>
        <v>41796.986821687329</v>
      </c>
      <c r="L85" s="3">
        <f t="shared" si="17"/>
        <v>658302.54244157544</v>
      </c>
      <c r="M85" s="3" t="s">
        <v>386</v>
      </c>
      <c r="N85" s="5">
        <f t="shared" si="18"/>
        <v>13654.472447605822</v>
      </c>
    </row>
    <row r="86" spans="1:14" x14ac:dyDescent="0.4">
      <c r="A86" t="s">
        <v>225</v>
      </c>
      <c r="B86" t="str">
        <f>TRIM(_xlfn.XLOOKUP(A86,UNIDADES[UNIDADE],UNIDADES[POSICAO NASCENTE/POENTE]) &amp; " " &amp; _xlfn.XLOOKUP(A86,UNIDADES[UNIDADE],UNIDADES[POSICAO NORTE/SUL]) &amp; " " &amp; _xlfn.XLOOKUP(A86,UNIDADES[UNIDADE],UNIDADES[POSICAO INTERNO/EXTERNO]))</f>
        <v>SUL INTERNO</v>
      </c>
      <c r="C86" s="2">
        <f>_xlfn.XLOOKUP(A86,UNIDADES[UNIDADE],UNIDADES[AREA PADRAO])</f>
        <v>75.256824991647093</v>
      </c>
      <c r="D86" s="2">
        <f>_xlfn.XLOOKUP(A86,UNIDADES[UNIDADE],UNIDADES[AREA TERRACO])</f>
        <v>0</v>
      </c>
      <c r="E86" s="1">
        <f>_xlfn.XLOOKUP(A86,UNIDADES[UNIDADE],UNIDADES[AREA CALCULO DE PRECO])</f>
        <v>75.256824991647093</v>
      </c>
      <c r="F86" s="2">
        <f>F85*0.95</f>
        <v>115.21125000000001</v>
      </c>
      <c r="G86" s="8">
        <f t="shared" si="11"/>
        <v>5.9448561502527678E-3</v>
      </c>
      <c r="H86" s="9">
        <f t="shared" si="13"/>
        <v>976212.63117560139</v>
      </c>
      <c r="I86" s="3">
        <f t="shared" si="14"/>
        <v>97621.263117560142</v>
      </c>
      <c r="J86" s="3">
        <f t="shared" si="15"/>
        <v>4693.329957575007</v>
      </c>
      <c r="K86" s="3">
        <f t="shared" si="16"/>
        <v>27891.789462160039</v>
      </c>
      <c r="L86" s="3">
        <f t="shared" si="17"/>
        <v>439295.68402902066</v>
      </c>
      <c r="M86" s="3" t="s">
        <v>386</v>
      </c>
      <c r="N86" s="5">
        <f t="shared" si="18"/>
        <v>12971.748825225528</v>
      </c>
    </row>
    <row r="87" spans="1:14" x14ac:dyDescent="0.4">
      <c r="A87" t="s">
        <v>224</v>
      </c>
      <c r="B87" t="str">
        <f>TRIM(_xlfn.XLOOKUP(A87,UNIDADES[UNIDADE],UNIDADES[POSICAO NASCENTE/POENTE]) &amp; " " &amp; _xlfn.XLOOKUP(A87,UNIDADES[UNIDADE],UNIDADES[POSICAO NORTE/SUL]) &amp; " " &amp; _xlfn.XLOOKUP(A87,UNIDADES[UNIDADE],UNIDADES[POSICAO INTERNO/EXTERNO]))</f>
        <v>SUL INTERNO</v>
      </c>
      <c r="C87" s="2">
        <f>_xlfn.XLOOKUP(A87,UNIDADES[UNIDADE],UNIDADES[AREA PADRAO])</f>
        <v>54.336053357361202</v>
      </c>
      <c r="D87" s="2">
        <f>_xlfn.XLOOKUP(A87,UNIDADES[UNIDADE],UNIDADES[AREA TERRACO])</f>
        <v>0</v>
      </c>
      <c r="E87" s="1">
        <f>_xlfn.XLOOKUP(A87,UNIDADES[UNIDADE],UNIDADES[AREA CALCULO DE PRECO])</f>
        <v>54.336053357361202</v>
      </c>
      <c r="F87" s="2">
        <f>F85*0.95</f>
        <v>115.21125000000001</v>
      </c>
      <c r="G87" s="8">
        <f t="shared" si="11"/>
        <v>4.2922355682401417E-3</v>
      </c>
      <c r="H87" s="9">
        <f t="shared" si="13"/>
        <v>704833.63630574173</v>
      </c>
      <c r="I87" s="3">
        <f t="shared" si="14"/>
        <v>70483.363630574182</v>
      </c>
      <c r="J87" s="3">
        <f t="shared" si="15"/>
        <v>3388.6232514699122</v>
      </c>
      <c r="K87" s="3">
        <f t="shared" si="16"/>
        <v>20138.103894449767</v>
      </c>
      <c r="L87" s="3">
        <f t="shared" si="17"/>
        <v>317175.13633758377</v>
      </c>
      <c r="M87" s="3" t="s">
        <v>386</v>
      </c>
      <c r="N87" s="5">
        <f t="shared" si="18"/>
        <v>12971.748825225528</v>
      </c>
    </row>
    <row r="88" spans="1:14" x14ac:dyDescent="0.4">
      <c r="A88" t="s">
        <v>223</v>
      </c>
      <c r="B88" t="str">
        <f>TRIM(_xlfn.XLOOKUP(A88,UNIDADES[UNIDADE],UNIDADES[POSICAO NASCENTE/POENTE]) &amp; " " &amp; _xlfn.XLOOKUP(A88,UNIDADES[UNIDADE],UNIDADES[POSICAO NORTE/SUL]) &amp; " " &amp; _xlfn.XLOOKUP(A88,UNIDADES[UNIDADE],UNIDADES[POSICAO INTERNO/EXTERNO]))</f>
        <v>POENTE SUL INTERNO</v>
      </c>
      <c r="C88" s="2">
        <f>_xlfn.XLOOKUP(A88,UNIDADES[UNIDADE],UNIDADES[AREA PADRAO])</f>
        <v>59.501049999999999</v>
      </c>
      <c r="D88" s="2">
        <f>_xlfn.XLOOKUP(A88,UNIDADES[UNIDADE],UNIDADES[AREA TERRACO])</f>
        <v>0</v>
      </c>
      <c r="E88" s="1">
        <f>_xlfn.XLOOKUP(A88,UNIDADES[UNIDADE],UNIDADES[AREA CALCULO DE PRECO])</f>
        <v>59.501049999999999</v>
      </c>
      <c r="F88" s="2">
        <f>F85*0.95</f>
        <v>115.21125000000001</v>
      </c>
      <c r="G88" s="8">
        <f t="shared" si="11"/>
        <v>4.7002405838707404E-3</v>
      </c>
      <c r="H88" s="9">
        <f t="shared" si="13"/>
        <v>771832.67543718545</v>
      </c>
      <c r="I88" s="3">
        <f t="shared" si="14"/>
        <v>77183.267543718553</v>
      </c>
      <c r="J88" s="3">
        <f t="shared" si="15"/>
        <v>3710.7340165249302</v>
      </c>
      <c r="K88" s="3">
        <f t="shared" si="16"/>
        <v>22052.362155348157</v>
      </c>
      <c r="L88" s="3">
        <f t="shared" si="17"/>
        <v>347324.70394673344</v>
      </c>
      <c r="M88" s="3" t="s">
        <v>386</v>
      </c>
      <c r="N88" s="5">
        <f t="shared" si="18"/>
        <v>12971.74882522553</v>
      </c>
    </row>
    <row r="89" spans="1:14" x14ac:dyDescent="0.4">
      <c r="A89" t="s">
        <v>222</v>
      </c>
      <c r="B89" t="str">
        <f>TRIM(_xlfn.XLOOKUP(A89,UNIDADES[UNIDADE],UNIDADES[POSICAO NASCENTE/POENTE]) &amp; " " &amp; _xlfn.XLOOKUP(A89,UNIDADES[UNIDADE],UNIDADES[POSICAO NORTE/SUL]) &amp; " " &amp; _xlfn.XLOOKUP(A89,UNIDADES[UNIDADE],UNIDADES[POSICAO INTERNO/EXTERNO]))</f>
        <v>POENTE NORTE EXTERNO</v>
      </c>
      <c r="C89" s="2">
        <f>_xlfn.XLOOKUP(A89,UNIDADES[UNIDADE],UNIDADES[AREA PADRAO])</f>
        <v>58.9135503202302</v>
      </c>
      <c r="D89" s="2">
        <f>_xlfn.XLOOKUP(A89,UNIDADES[UNIDADE],UNIDADES[AREA TERRACO])</f>
        <v>0</v>
      </c>
      <c r="E89" s="1">
        <f>_xlfn.XLOOKUP(A89,UNIDADES[UNIDADE],UNIDADES[AREA CALCULO DE PRECO])</f>
        <v>58.9135503202302</v>
      </c>
      <c r="F89" s="2">
        <f>F84*0.9</f>
        <v>103.95000000000002</v>
      </c>
      <c r="G89" s="8">
        <f t="shared" si="11"/>
        <v>4.1989457049142805E-3</v>
      </c>
      <c r="H89" s="9">
        <f t="shared" si="13"/>
        <v>689514.38540419063</v>
      </c>
      <c r="I89" s="3">
        <f t="shared" si="14"/>
        <v>68951.438540419069</v>
      </c>
      <c r="J89" s="3">
        <f t="shared" si="15"/>
        <v>3314.9730067509163</v>
      </c>
      <c r="K89" s="3">
        <f t="shared" si="16"/>
        <v>19700.411011548305</v>
      </c>
      <c r="L89" s="3">
        <f t="shared" si="17"/>
        <v>310281.47343188577</v>
      </c>
      <c r="M89" s="3" t="s">
        <v>386</v>
      </c>
      <c r="N89" s="5">
        <f t="shared" si="18"/>
        <v>11703.833526519276</v>
      </c>
    </row>
    <row r="90" spans="1:14" x14ac:dyDescent="0.4">
      <c r="A90" t="s">
        <v>334</v>
      </c>
      <c r="B90" t="str">
        <f>TRIM(_xlfn.XLOOKUP(A90,UNIDADES[UNIDADE],UNIDADES[POSICAO NASCENTE/POENTE]) &amp; " " &amp; _xlfn.XLOOKUP(A90,UNIDADES[UNIDADE],UNIDADES[POSICAO NORTE/SUL]) &amp; " " &amp; _xlfn.XLOOKUP(A90,UNIDADES[UNIDADE],UNIDADES[POSICAO INTERNO/EXTERNO]))</f>
        <v>NORTE EXTERNO</v>
      </c>
      <c r="C90" s="2">
        <f>_xlfn.XLOOKUP(A90,UNIDADES[UNIDADE],UNIDADES[AREA PADRAO])</f>
        <v>48.331200057960999</v>
      </c>
      <c r="D90" s="2">
        <f>_xlfn.XLOOKUP(A90,UNIDADES[UNIDADE],UNIDADES[AREA TERRACO])</f>
        <v>0</v>
      </c>
      <c r="E90" s="1">
        <f>_xlfn.XLOOKUP(A90,UNIDADES[UNIDADE],UNIDADES[AREA CALCULO DE PRECO])</f>
        <v>48.331200057960999</v>
      </c>
      <c r="F90" s="2">
        <f>F84*0.95</f>
        <v>109.72500000000001</v>
      </c>
      <c r="G90" s="8">
        <f t="shared" si="11"/>
        <v>3.636082580209035E-3</v>
      </c>
      <c r="H90" s="9">
        <f t="shared" si="13"/>
        <v>597085.89292723383</v>
      </c>
      <c r="I90" s="3">
        <f t="shared" si="14"/>
        <v>59708.589292723387</v>
      </c>
      <c r="J90" s="3">
        <f t="shared" si="15"/>
        <v>2870.6052544578552</v>
      </c>
      <c r="K90" s="3">
        <f t="shared" si="16"/>
        <v>17059.596940778112</v>
      </c>
      <c r="L90" s="3">
        <f t="shared" si="17"/>
        <v>268688.65181725525</v>
      </c>
      <c r="M90" s="3" t="s">
        <v>386</v>
      </c>
      <c r="N90" s="5">
        <f t="shared" si="18"/>
        <v>12354.046500214788</v>
      </c>
    </row>
    <row r="91" spans="1:14" x14ac:dyDescent="0.4">
      <c r="A91" t="s">
        <v>335</v>
      </c>
      <c r="B91" t="str">
        <f>TRIM(_xlfn.XLOOKUP(A91,UNIDADES[UNIDADE],UNIDADES[POSICAO NASCENTE/POENTE]) &amp; " " &amp; _xlfn.XLOOKUP(A91,UNIDADES[UNIDADE],UNIDADES[POSICAO NORTE/SUL]) &amp; " " &amp; _xlfn.XLOOKUP(A91,UNIDADES[UNIDADE],UNIDADES[POSICAO INTERNO/EXTERNO]))</f>
        <v>NORTE EXTERNO</v>
      </c>
      <c r="C91" s="2">
        <f>_xlfn.XLOOKUP(A91,UNIDADES[UNIDADE],UNIDADES[AREA PADRAO])</f>
        <v>49.052399941747503</v>
      </c>
      <c r="D91" s="2">
        <f>_xlfn.XLOOKUP(A91,UNIDADES[UNIDADE],UNIDADES[AREA TERRACO])</f>
        <v>0</v>
      </c>
      <c r="E91" s="1">
        <f>_xlfn.XLOOKUP(A91,UNIDADES[UNIDADE],UNIDADES[AREA CALCULO DE PRECO])</f>
        <v>49.052399941747503</v>
      </c>
      <c r="F91" s="2">
        <f>F84*0.95</f>
        <v>109.72500000000001</v>
      </c>
      <c r="G91" s="8">
        <f t="shared" si="11"/>
        <v>3.6903403336093245E-3</v>
      </c>
      <c r="H91" s="9">
        <f t="shared" si="13"/>
        <v>605995.62982748193</v>
      </c>
      <c r="I91" s="3">
        <f t="shared" si="14"/>
        <v>60599.562982748197</v>
      </c>
      <c r="J91" s="3">
        <f t="shared" si="15"/>
        <v>2913.4405280167402</v>
      </c>
      <c r="K91" s="3">
        <f t="shared" si="16"/>
        <v>17314.160852213772</v>
      </c>
      <c r="L91" s="3">
        <f t="shared" si="17"/>
        <v>272698.03342236689</v>
      </c>
      <c r="M91" s="3" t="s">
        <v>386</v>
      </c>
      <c r="N91" s="5">
        <f t="shared" si="18"/>
        <v>12354.04650021479</v>
      </c>
    </row>
    <row r="92" spans="1:14" x14ac:dyDescent="0.4">
      <c r="A92" t="s">
        <v>336</v>
      </c>
      <c r="B92" t="str">
        <f>TRIM(_xlfn.XLOOKUP(A92,UNIDADES[UNIDADE],UNIDADES[POSICAO NASCENTE/POENTE]) &amp; " " &amp; _xlfn.XLOOKUP(A92,UNIDADES[UNIDADE],UNIDADES[POSICAO NORTE/SUL]) &amp; " " &amp; _xlfn.XLOOKUP(A92,UNIDADES[UNIDADE],UNIDADES[POSICAO INTERNO/EXTERNO]))</f>
        <v>NORTE EXTERNO</v>
      </c>
      <c r="C92" s="2">
        <f>_xlfn.XLOOKUP(A92,UNIDADES[UNIDADE],UNIDADES[AREA PADRAO])</f>
        <v>57.580400001903698</v>
      </c>
      <c r="D92" s="2">
        <f>_xlfn.XLOOKUP(A92,UNIDADES[UNIDADE],UNIDADES[AREA TERRACO])</f>
        <v>0</v>
      </c>
      <c r="E92" s="1">
        <f>_xlfn.XLOOKUP(A92,UNIDADES[UNIDADE],UNIDADES[AREA CALCULO DE PRECO])</f>
        <v>57.580400001903698</v>
      </c>
      <c r="F92" s="2">
        <f>F84*0.9</f>
        <v>103.95000000000002</v>
      </c>
      <c r="G92" s="8">
        <f t="shared" si="11"/>
        <v>4.1039280770050019E-3</v>
      </c>
      <c r="H92" s="9">
        <f t="shared" si="13"/>
        <v>673911.41601267108</v>
      </c>
      <c r="I92" s="3">
        <f t="shared" si="14"/>
        <v>67391.141601267111</v>
      </c>
      <c r="J92" s="3">
        <f t="shared" si="15"/>
        <v>3239.9587308301493</v>
      </c>
      <c r="K92" s="3">
        <f t="shared" si="16"/>
        <v>19254.611886076316</v>
      </c>
      <c r="L92" s="3">
        <f t="shared" si="17"/>
        <v>303260.13720570202</v>
      </c>
      <c r="M92" s="3" t="s">
        <v>386</v>
      </c>
      <c r="N92" s="5">
        <f t="shared" si="18"/>
        <v>11703.833526519276</v>
      </c>
    </row>
    <row r="93" spans="1:14" x14ac:dyDescent="0.4">
      <c r="A93" t="s">
        <v>282</v>
      </c>
      <c r="B93" t="str">
        <f>TRIM(_xlfn.XLOOKUP(A93,UNIDADES[UNIDADE],UNIDADES[POSICAO NASCENTE/POENTE]) &amp; " " &amp; _xlfn.XLOOKUP(A93,UNIDADES[UNIDADE],UNIDADES[POSICAO NORTE/SUL]) &amp; " " &amp; _xlfn.XLOOKUP(A93,UNIDADES[UNIDADE],UNIDADES[POSICAO INTERNO/EXTERNO]))</f>
        <v>NASCENTE NORTE EXTERNO</v>
      </c>
      <c r="C93" s="2">
        <f>_xlfn.XLOOKUP(A93,UNIDADES[UNIDADE],UNIDADES[AREA PADRAO])</f>
        <v>107.76375755900401</v>
      </c>
      <c r="D93" s="2">
        <f>_xlfn.XLOOKUP(A93,UNIDADES[UNIDADE],UNIDADES[AREA TERRACO])</f>
        <v>0</v>
      </c>
      <c r="E93" s="1">
        <f>_xlfn.XLOOKUP(A93,UNIDADES[UNIDADE],UNIDADES[AREA CALCULO DE PRECO])</f>
        <v>107.76375755900401</v>
      </c>
      <c r="F93" s="2">
        <f>F84*1.04</f>
        <v>120.12000000000002</v>
      </c>
      <c r="G93" s="8">
        <f t="shared" si="11"/>
        <v>8.8754139859309449E-3</v>
      </c>
      <c r="H93" s="9">
        <f t="shared" si="13"/>
        <v>1457443.3797880854</v>
      </c>
      <c r="I93" s="3">
        <f t="shared" si="14"/>
        <v>145744.33797880853</v>
      </c>
      <c r="J93" s="3">
        <f t="shared" si="15"/>
        <v>7006.9393259042563</v>
      </c>
      <c r="K93" s="3">
        <f t="shared" si="16"/>
        <v>41641.239422516723</v>
      </c>
      <c r="L93" s="3">
        <f t="shared" si="17"/>
        <v>655849.52090463846</v>
      </c>
      <c r="M93" s="3" t="s">
        <v>386</v>
      </c>
      <c r="N93" s="5">
        <f t="shared" si="18"/>
        <v>13524.429852866719</v>
      </c>
    </row>
    <row r="94" spans="1:14" x14ac:dyDescent="0.4">
      <c r="A94" t="s">
        <v>281</v>
      </c>
      <c r="B94" t="str">
        <f>TRIM(_xlfn.XLOOKUP(A94,UNIDADES[UNIDADE],UNIDADES[POSICAO NASCENTE/POENTE]) &amp; " " &amp; _xlfn.XLOOKUP(A94,UNIDADES[UNIDADE],UNIDADES[POSICAO NORTE/SUL]) &amp; " " &amp; _xlfn.XLOOKUP(A94,UNIDADES[UNIDADE],UNIDADES[POSICAO INTERNO/EXTERNO]))</f>
        <v>NASCENTE SUL INTERNO</v>
      </c>
      <c r="C94" s="2">
        <f>_xlfn.XLOOKUP(A94,UNIDADES[UNIDADE],UNIDADES[AREA PADRAO])</f>
        <v>107.333257557005</v>
      </c>
      <c r="D94" s="2">
        <f>_xlfn.XLOOKUP(A94,UNIDADES[UNIDADE],UNIDADES[AREA TERRACO])</f>
        <v>0</v>
      </c>
      <c r="E94" s="1">
        <f>_xlfn.XLOOKUP(A94,UNIDADES[UNIDADE],UNIDADES[AREA CALCULO DE PRECO])</f>
        <v>107.333257557005</v>
      </c>
      <c r="F94" s="2">
        <f>F85*1.04</f>
        <v>126.12600000000002</v>
      </c>
      <c r="G94" s="8">
        <f t="shared" si="11"/>
        <v>9.2819559441693206E-3</v>
      </c>
      <c r="H94" s="9">
        <f t="shared" si="13"/>
        <v>1524202.16834486</v>
      </c>
      <c r="I94" s="3">
        <f t="shared" si="14"/>
        <v>152420.216834486</v>
      </c>
      <c r="J94" s="3">
        <f t="shared" si="15"/>
        <v>7327.8950401195189</v>
      </c>
      <c r="K94" s="3">
        <f t="shared" si="16"/>
        <v>43548.63338128171</v>
      </c>
      <c r="L94" s="3">
        <f t="shared" si="17"/>
        <v>685890.97575518698</v>
      </c>
      <c r="M94" s="3" t="s">
        <v>386</v>
      </c>
      <c r="N94" s="5">
        <f t="shared" si="18"/>
        <v>14200.651345510052</v>
      </c>
    </row>
    <row r="95" spans="1:14" x14ac:dyDescent="0.4">
      <c r="A95" t="s">
        <v>280</v>
      </c>
      <c r="B95" t="str">
        <f>TRIM(_xlfn.XLOOKUP(A95,UNIDADES[UNIDADE],UNIDADES[POSICAO NASCENTE/POENTE]) &amp; " " &amp; _xlfn.XLOOKUP(A95,UNIDADES[UNIDADE],UNIDADES[POSICAO NORTE/SUL]) &amp; " " &amp; _xlfn.XLOOKUP(A95,UNIDADES[UNIDADE],UNIDADES[POSICAO INTERNO/EXTERNO]))</f>
        <v>SUL INTERNO</v>
      </c>
      <c r="C95" s="2">
        <f>_xlfn.XLOOKUP(A95,UNIDADES[UNIDADE],UNIDADES[AREA PADRAO])</f>
        <v>75.988299987721106</v>
      </c>
      <c r="D95" s="2">
        <f>_xlfn.XLOOKUP(A95,UNIDADES[UNIDADE],UNIDADES[AREA TERRACO])</f>
        <v>0</v>
      </c>
      <c r="E95" s="1">
        <f>_xlfn.XLOOKUP(A95,UNIDADES[UNIDADE],UNIDADES[AREA CALCULO DE PRECO])</f>
        <v>75.988299987721106</v>
      </c>
      <c r="F95" s="2">
        <f>F94*0.95</f>
        <v>119.81970000000001</v>
      </c>
      <c r="G95" s="8">
        <f t="shared" si="11"/>
        <v>6.2427440047141437E-3</v>
      </c>
      <c r="H95" s="9">
        <f t="shared" si="13"/>
        <v>1025129.1867404707</v>
      </c>
      <c r="I95" s="3">
        <f t="shared" si="14"/>
        <v>102512.91867404708</v>
      </c>
      <c r="J95" s="3">
        <f t="shared" si="15"/>
        <v>4928.5057054830322</v>
      </c>
      <c r="K95" s="3">
        <f t="shared" si="16"/>
        <v>29289.405335442021</v>
      </c>
      <c r="L95" s="3">
        <f t="shared" si="17"/>
        <v>461308.1340332118</v>
      </c>
      <c r="M95" s="3" t="s">
        <v>386</v>
      </c>
      <c r="N95" s="5">
        <f t="shared" si="18"/>
        <v>13490.618778234551</v>
      </c>
    </row>
    <row r="96" spans="1:14" x14ac:dyDescent="0.4">
      <c r="A96" t="s">
        <v>279</v>
      </c>
      <c r="B96" t="str">
        <f>TRIM(_xlfn.XLOOKUP(A96,UNIDADES[UNIDADE],UNIDADES[POSICAO NASCENTE/POENTE]) &amp; " " &amp; _xlfn.XLOOKUP(A96,UNIDADES[UNIDADE],UNIDADES[POSICAO NORTE/SUL]) &amp; " " &amp; _xlfn.XLOOKUP(A96,UNIDADES[UNIDADE],UNIDADES[POSICAO INTERNO/EXTERNO]))</f>
        <v>SUL INTERNO</v>
      </c>
      <c r="C96" s="2">
        <f>_xlfn.XLOOKUP(A96,UNIDADES[UNIDADE],UNIDADES[AREA PADRAO])</f>
        <v>54.312999998096998</v>
      </c>
      <c r="D96" s="2">
        <f>_xlfn.XLOOKUP(A96,UNIDADES[UNIDADE],UNIDADES[AREA TERRACO])</f>
        <v>0</v>
      </c>
      <c r="E96" s="1">
        <f>_xlfn.XLOOKUP(A96,UNIDADES[UNIDADE],UNIDADES[AREA CALCULO DE PRECO])</f>
        <v>54.312999998096998</v>
      </c>
      <c r="F96" s="2">
        <f>F94*0.95</f>
        <v>119.81970000000001</v>
      </c>
      <c r="G96" s="8">
        <f t="shared" si="11"/>
        <v>4.4620310649264175E-3</v>
      </c>
      <c r="H96" s="9">
        <f t="shared" si="13"/>
        <v>732715.97767658043</v>
      </c>
      <c r="I96" s="3">
        <f t="shared" si="14"/>
        <v>73271.597767658051</v>
      </c>
      <c r="J96" s="3">
        <f t="shared" si="15"/>
        <v>3522.6729695989443</v>
      </c>
      <c r="K96" s="3">
        <f t="shared" si="16"/>
        <v>20934.74221933087</v>
      </c>
      <c r="L96" s="3">
        <f t="shared" si="17"/>
        <v>329722.18995446118</v>
      </c>
      <c r="M96" s="3" t="s">
        <v>386</v>
      </c>
      <c r="N96" s="5">
        <f t="shared" si="18"/>
        <v>13490.61877823455</v>
      </c>
    </row>
    <row r="97" spans="1:14" x14ac:dyDescent="0.4">
      <c r="A97" t="s">
        <v>278</v>
      </c>
      <c r="B97" t="str">
        <f>TRIM(_xlfn.XLOOKUP(A97,UNIDADES[UNIDADE],UNIDADES[POSICAO NASCENTE/POENTE]) &amp; " " &amp; _xlfn.XLOOKUP(A97,UNIDADES[UNIDADE],UNIDADES[POSICAO NORTE/SUL]) &amp; " " &amp; _xlfn.XLOOKUP(A97,UNIDADES[UNIDADE],UNIDADES[POSICAO INTERNO/EXTERNO]))</f>
        <v>POENTE SUL INTERNO</v>
      </c>
      <c r="C97" s="2">
        <f>_xlfn.XLOOKUP(A97,UNIDADES[UNIDADE],UNIDADES[AREA PADRAO])</f>
        <v>59.500987689683299</v>
      </c>
      <c r="D97" s="2">
        <f>_xlfn.XLOOKUP(A97,UNIDADES[UNIDADE],UNIDADES[AREA TERRACO])</f>
        <v>0</v>
      </c>
      <c r="E97" s="1">
        <f>_xlfn.XLOOKUP(A97,UNIDADES[UNIDADE],UNIDADES[AREA CALCULO DE PRECO])</f>
        <v>59.500987689683299</v>
      </c>
      <c r="F97" s="2">
        <f>F94*0.95</f>
        <v>119.81970000000001</v>
      </c>
      <c r="G97" s="8">
        <f t="shared" si="11"/>
        <v>4.8882450881828216E-3</v>
      </c>
      <c r="H97" s="9">
        <f t="shared" si="13"/>
        <v>802705.14184994437</v>
      </c>
      <c r="I97" s="3">
        <f t="shared" si="14"/>
        <v>80270.514184994448</v>
      </c>
      <c r="J97" s="3">
        <f t="shared" si="15"/>
        <v>3859.1593358170403</v>
      </c>
      <c r="K97" s="3">
        <f t="shared" si="16"/>
        <v>22934.432624284127</v>
      </c>
      <c r="L97" s="3">
        <f t="shared" si="17"/>
        <v>361217.31383247499</v>
      </c>
      <c r="M97" s="3" t="s">
        <v>386</v>
      </c>
      <c r="N97" s="5">
        <f t="shared" si="18"/>
        <v>13490.618778234551</v>
      </c>
    </row>
    <row r="98" spans="1:14" x14ac:dyDescent="0.4">
      <c r="A98" t="s">
        <v>277</v>
      </c>
      <c r="B98" t="str">
        <f>TRIM(_xlfn.XLOOKUP(A98,UNIDADES[UNIDADE],UNIDADES[POSICAO NASCENTE/POENTE]) &amp; " " &amp; _xlfn.XLOOKUP(A98,UNIDADES[UNIDADE],UNIDADES[POSICAO NORTE/SUL]) &amp; " " &amp; _xlfn.XLOOKUP(A98,UNIDADES[UNIDADE],UNIDADES[POSICAO INTERNO/EXTERNO]))</f>
        <v>POENTE NORTE EXTERNO</v>
      </c>
      <c r="C98" s="2">
        <f>_xlfn.XLOOKUP(A98,UNIDADES[UNIDADE],UNIDADES[AREA PADRAO])</f>
        <v>58.913550312519497</v>
      </c>
      <c r="D98" s="2">
        <f>_xlfn.XLOOKUP(A98,UNIDADES[UNIDADE],UNIDADES[AREA TERRACO])</f>
        <v>0</v>
      </c>
      <c r="E98" s="1">
        <f>_xlfn.XLOOKUP(A98,UNIDADES[UNIDADE],UNIDADES[AREA CALCULO DE PRECO])</f>
        <v>58.913550312519497</v>
      </c>
      <c r="F98" s="2">
        <f>F93*0.9</f>
        <v>108.10800000000002</v>
      </c>
      <c r="G98" s="8">
        <f t="shared" ref="G98:G129" si="19">F98*E98/SUMPRODUCT(F:F,E:E)</f>
        <v>4.3669035325393036E-3</v>
      </c>
      <c r="H98" s="9">
        <f t="shared" si="13"/>
        <v>717094.96072650363</v>
      </c>
      <c r="I98" s="3">
        <f t="shared" si="14"/>
        <v>71709.496072650363</v>
      </c>
      <c r="J98" s="3">
        <f t="shared" si="15"/>
        <v>3447.5719265697289</v>
      </c>
      <c r="K98" s="3">
        <f t="shared" si="16"/>
        <v>20488.427449328676</v>
      </c>
      <c r="L98" s="3">
        <f t="shared" si="17"/>
        <v>322692.73232692666</v>
      </c>
      <c r="M98" s="3" t="s">
        <v>386</v>
      </c>
      <c r="N98" s="5">
        <f t="shared" si="18"/>
        <v>12171.986867580046</v>
      </c>
    </row>
    <row r="99" spans="1:14" x14ac:dyDescent="0.4">
      <c r="A99" t="s">
        <v>337</v>
      </c>
      <c r="B99" t="str">
        <f>TRIM(_xlfn.XLOOKUP(A99,UNIDADES[UNIDADE],UNIDADES[POSICAO NASCENTE/POENTE]) &amp; " " &amp; _xlfn.XLOOKUP(A99,UNIDADES[UNIDADE],UNIDADES[POSICAO NORTE/SUL]) &amp; " " &amp; _xlfn.XLOOKUP(A99,UNIDADES[UNIDADE],UNIDADES[POSICAO INTERNO/EXTERNO]))</f>
        <v>NORTE EXTERNO</v>
      </c>
      <c r="C99" s="2">
        <f>_xlfn.XLOOKUP(A99,UNIDADES[UNIDADE],UNIDADES[AREA PADRAO])</f>
        <v>48.827200057960503</v>
      </c>
      <c r="D99" s="2">
        <f>_xlfn.XLOOKUP(A99,UNIDADES[UNIDADE],UNIDADES[AREA TERRACO])</f>
        <v>0</v>
      </c>
      <c r="E99" s="1">
        <f>_xlfn.XLOOKUP(A99,UNIDADES[UNIDADE],UNIDADES[AREA CALCULO DE PRECO])</f>
        <v>48.827200057960503</v>
      </c>
      <c r="F99" s="2">
        <f>F93*0.95</f>
        <v>114.11400000000002</v>
      </c>
      <c r="G99" s="8">
        <f t="shared" si="19"/>
        <v>3.8203338756858242E-3</v>
      </c>
      <c r="H99" s="9">
        <f t="shared" si="13"/>
        <v>627342.03999098775</v>
      </c>
      <c r="I99" s="3">
        <f t="shared" si="14"/>
        <v>62734.203999098776</v>
      </c>
      <c r="J99" s="3">
        <f t="shared" si="15"/>
        <v>3016.0674999566718</v>
      </c>
      <c r="K99" s="3">
        <f t="shared" si="16"/>
        <v>17924.058285456795</v>
      </c>
      <c r="L99" s="3">
        <f t="shared" si="17"/>
        <v>282303.9179959445</v>
      </c>
      <c r="M99" s="3" t="s">
        <v>386</v>
      </c>
      <c r="N99" s="5">
        <f t="shared" si="18"/>
        <v>12848.208360223382</v>
      </c>
    </row>
    <row r="100" spans="1:14" x14ac:dyDescent="0.4">
      <c r="A100" t="s">
        <v>338</v>
      </c>
      <c r="B100" t="str">
        <f>TRIM(_xlfn.XLOOKUP(A100,UNIDADES[UNIDADE],UNIDADES[POSICAO NASCENTE/POENTE]) &amp; " " &amp; _xlfn.XLOOKUP(A100,UNIDADES[UNIDADE],UNIDADES[POSICAO NORTE/SUL]) &amp; " " &amp; _xlfn.XLOOKUP(A100,UNIDADES[UNIDADE],UNIDADES[POSICAO INTERNO/EXTERNO]))</f>
        <v>NORTE EXTERNO</v>
      </c>
      <c r="C100" s="2">
        <f>_xlfn.XLOOKUP(A100,UNIDADES[UNIDADE],UNIDADES[AREA PADRAO])</f>
        <v>48.566399941747498</v>
      </c>
      <c r="D100" s="2">
        <f>_xlfn.XLOOKUP(A100,UNIDADES[UNIDADE],UNIDADES[AREA TERRACO])</f>
        <v>0</v>
      </c>
      <c r="E100" s="1">
        <f>_xlfn.XLOOKUP(A100,UNIDADES[UNIDADE],UNIDADES[AREA CALCULO DE PRECO])</f>
        <v>48.566399941747498</v>
      </c>
      <c r="F100" s="2">
        <f>F93*0.95</f>
        <v>114.11400000000002</v>
      </c>
      <c r="G100" s="8">
        <f t="shared" si="19"/>
        <v>3.7999283738841924E-3</v>
      </c>
      <c r="H100" s="9">
        <f t="shared" si="13"/>
        <v>623991.22575751261</v>
      </c>
      <c r="I100" s="3">
        <f t="shared" si="14"/>
        <v>62399.122575751266</v>
      </c>
      <c r="J100" s="3">
        <f t="shared" si="15"/>
        <v>2999.9578161418876</v>
      </c>
      <c r="K100" s="3">
        <f t="shared" si="16"/>
        <v>17828.320735928934</v>
      </c>
      <c r="L100" s="3">
        <f t="shared" si="17"/>
        <v>280796.05159088067</v>
      </c>
      <c r="M100" s="3" t="s">
        <v>386</v>
      </c>
      <c r="N100" s="5">
        <f t="shared" si="18"/>
        <v>12848.208360223383</v>
      </c>
    </row>
    <row r="101" spans="1:14" x14ac:dyDescent="0.4">
      <c r="A101" t="s">
        <v>339</v>
      </c>
      <c r="B101" t="str">
        <f>TRIM(_xlfn.XLOOKUP(A101,UNIDADES[UNIDADE],UNIDADES[POSICAO NASCENTE/POENTE]) &amp; " " &amp; _xlfn.XLOOKUP(A101,UNIDADES[UNIDADE],UNIDADES[POSICAO NORTE/SUL]) &amp; " " &amp; _xlfn.XLOOKUP(A101,UNIDADES[UNIDADE],UNIDADES[POSICAO INTERNO/EXTERNO]))</f>
        <v>NORTE EXTERNO</v>
      </c>
      <c r="C101" s="2">
        <f>_xlfn.XLOOKUP(A101,UNIDADES[UNIDADE],UNIDADES[AREA PADRAO])</f>
        <v>56.968400000000202</v>
      </c>
      <c r="D101" s="2">
        <f>_xlfn.XLOOKUP(A101,UNIDADES[UNIDADE],UNIDADES[AREA TERRACO])</f>
        <v>0</v>
      </c>
      <c r="E101" s="1">
        <f>_xlfn.XLOOKUP(A101,UNIDADES[UNIDADE],UNIDADES[AREA CALCULO DE PRECO])</f>
        <v>56.968400000000202</v>
      </c>
      <c r="F101" s="2">
        <f>F93*0.9</f>
        <v>108.10800000000002</v>
      </c>
      <c r="G101" s="8">
        <f t="shared" si="19"/>
        <v>4.222721358387505E-3</v>
      </c>
      <c r="H101" s="9">
        <f t="shared" si="13"/>
        <v>693418.61666704959</v>
      </c>
      <c r="I101" s="3">
        <f t="shared" si="14"/>
        <v>69341.861666704965</v>
      </c>
      <c r="J101" s="3">
        <f t="shared" si="15"/>
        <v>3333.7433493608155</v>
      </c>
      <c r="K101" s="3">
        <f t="shared" si="16"/>
        <v>19811.960476201417</v>
      </c>
      <c r="L101" s="3">
        <f t="shared" si="17"/>
        <v>312038.3775001723</v>
      </c>
      <c r="M101" s="3" t="s">
        <v>386</v>
      </c>
      <c r="N101" s="5">
        <f t="shared" si="18"/>
        <v>12171.986867580046</v>
      </c>
    </row>
    <row r="102" spans="1:14" x14ac:dyDescent="0.4">
      <c r="A102" t="s">
        <v>195</v>
      </c>
      <c r="B102" t="str">
        <f>TRIM(_xlfn.XLOOKUP(A102,UNIDADES[UNIDADE],UNIDADES[POSICAO NASCENTE/POENTE]) &amp; " " &amp; _xlfn.XLOOKUP(A102,UNIDADES[UNIDADE],UNIDADES[POSICAO NORTE/SUL]) &amp; " " &amp; _xlfn.XLOOKUP(A102,UNIDADES[UNIDADE],UNIDADES[POSICAO INTERNO/EXTERNO]))</f>
        <v>NASCENTE NORTE EXTERNO</v>
      </c>
      <c r="C102" s="2">
        <f>_xlfn.XLOOKUP(A102,UNIDADES[UNIDADE],UNIDADES[AREA PADRAO])</f>
        <v>106.93295755635</v>
      </c>
      <c r="D102" s="2">
        <f>_xlfn.XLOOKUP(A102,UNIDADES[UNIDADE],UNIDADES[AREA TERRACO])</f>
        <v>0</v>
      </c>
      <c r="E102" s="1">
        <f>_xlfn.XLOOKUP(A102,UNIDADES[UNIDADE],UNIDADES[AREA CALCULO DE PRECO])</f>
        <v>106.93295755635</v>
      </c>
      <c r="F102" s="2">
        <f>F93*1.03</f>
        <v>123.72360000000002</v>
      </c>
      <c r="G102" s="8">
        <f t="shared" si="19"/>
        <v>9.0711990487982886E-3</v>
      </c>
      <c r="H102" s="9">
        <f t="shared" si="13"/>
        <v>1489593.5019333425</v>
      </c>
      <c r="I102" s="3">
        <f t="shared" si="14"/>
        <v>148959.35019333425</v>
      </c>
      <c r="J102" s="3">
        <f t="shared" si="15"/>
        <v>7161.5072208333777</v>
      </c>
      <c r="K102" s="3">
        <f t="shared" si="16"/>
        <v>42559.814340952646</v>
      </c>
      <c r="L102" s="3">
        <f t="shared" si="17"/>
        <v>670317.07587000413</v>
      </c>
      <c r="M102" s="3" t="s">
        <v>386</v>
      </c>
      <c r="N102" s="5">
        <f t="shared" si="18"/>
        <v>13930.16274845272</v>
      </c>
    </row>
    <row r="103" spans="1:14" x14ac:dyDescent="0.4">
      <c r="A103" t="s">
        <v>196</v>
      </c>
      <c r="B103" t="str">
        <f>TRIM(_xlfn.XLOOKUP(A103,UNIDADES[UNIDADE],UNIDADES[POSICAO NASCENTE/POENTE]) &amp; " " &amp; _xlfn.XLOOKUP(A103,UNIDADES[UNIDADE],UNIDADES[POSICAO NORTE/SUL]) &amp; " " &amp; _xlfn.XLOOKUP(A103,UNIDADES[UNIDADE],UNIDADES[POSICAO INTERNO/EXTERNO]))</f>
        <v>NASCENTE SUL INTERNO</v>
      </c>
      <c r="C103" s="2">
        <f>_xlfn.XLOOKUP(A103,UNIDADES[UNIDADE],UNIDADES[AREA PADRAO])</f>
        <v>107.136657558349</v>
      </c>
      <c r="D103" s="2">
        <f>_xlfn.XLOOKUP(A103,UNIDADES[UNIDADE],UNIDADES[AREA TERRACO])</f>
        <v>0</v>
      </c>
      <c r="E103" s="1">
        <f>_xlfn.XLOOKUP(A103,UNIDADES[UNIDADE],UNIDADES[AREA CALCULO DE PRECO])</f>
        <v>107.136657558349</v>
      </c>
      <c r="F103" s="2">
        <f>F94*1.03</f>
        <v>129.90978000000001</v>
      </c>
      <c r="G103" s="8">
        <f t="shared" si="19"/>
        <v>9.5429030184984547E-3</v>
      </c>
      <c r="H103" s="9">
        <f t="shared" si="13"/>
        <v>1567052.6299187012</v>
      </c>
      <c r="I103" s="3">
        <f t="shared" si="14"/>
        <v>156705.26299187014</v>
      </c>
      <c r="J103" s="3">
        <f t="shared" si="15"/>
        <v>7533.9068746091407</v>
      </c>
      <c r="K103" s="3">
        <f t="shared" si="16"/>
        <v>44772.93228339147</v>
      </c>
      <c r="L103" s="3">
        <f t="shared" si="17"/>
        <v>705173.6834634156</v>
      </c>
      <c r="M103" s="3" t="s">
        <v>386</v>
      </c>
      <c r="N103" s="5">
        <f t="shared" si="18"/>
        <v>14626.670885875355</v>
      </c>
    </row>
    <row r="104" spans="1:14" x14ac:dyDescent="0.4">
      <c r="A104" t="s">
        <v>197</v>
      </c>
      <c r="B104" t="str">
        <f>TRIM(_xlfn.XLOOKUP(A104,UNIDADES[UNIDADE],UNIDADES[POSICAO NASCENTE/POENTE]) &amp; " " &amp; _xlfn.XLOOKUP(A104,UNIDADES[UNIDADE],UNIDADES[POSICAO NORTE/SUL]) &amp; " " &amp; _xlfn.XLOOKUP(A104,UNIDADES[UNIDADE],UNIDADES[POSICAO INTERNO/EXTERNO]))</f>
        <v>SUL INTERNO</v>
      </c>
      <c r="C104" s="2">
        <f>_xlfn.XLOOKUP(A104,UNIDADES[UNIDADE],UNIDADES[AREA PADRAO])</f>
        <v>75.256824991647093</v>
      </c>
      <c r="D104" s="2">
        <f>_xlfn.XLOOKUP(A104,UNIDADES[UNIDADE],UNIDADES[AREA TERRACO])</f>
        <v>0</v>
      </c>
      <c r="E104" s="1">
        <f>_xlfn.XLOOKUP(A104,UNIDADES[UNIDADE],UNIDADES[AREA CALCULO DE PRECO])</f>
        <v>75.256824991647093</v>
      </c>
      <c r="F104" s="2">
        <f>F103*0.95</f>
        <v>123.41429100000001</v>
      </c>
      <c r="G104" s="8">
        <f t="shared" si="19"/>
        <v>6.3681299081507648E-3</v>
      </c>
      <c r="H104" s="9">
        <f t="shared" si="13"/>
        <v>1045718.9705153042</v>
      </c>
      <c r="I104" s="3">
        <f t="shared" si="14"/>
        <v>104571.89705153042</v>
      </c>
      <c r="J104" s="3">
        <f t="shared" si="15"/>
        <v>5027.4950505543475</v>
      </c>
      <c r="K104" s="3">
        <f t="shared" si="16"/>
        <v>29877.684871865837</v>
      </c>
      <c r="L104" s="3">
        <f t="shared" si="17"/>
        <v>470573.53673188691</v>
      </c>
      <c r="M104" s="3" t="s">
        <v>386</v>
      </c>
      <c r="N104" s="5">
        <f t="shared" si="18"/>
        <v>13895.337341581588</v>
      </c>
    </row>
    <row r="105" spans="1:14" x14ac:dyDescent="0.4">
      <c r="A105" t="s">
        <v>198</v>
      </c>
      <c r="B105" t="str">
        <f>TRIM(_xlfn.XLOOKUP(A105,UNIDADES[UNIDADE],UNIDADES[POSICAO NASCENTE/POENTE]) &amp; " " &amp; _xlfn.XLOOKUP(A105,UNIDADES[UNIDADE],UNIDADES[POSICAO NORTE/SUL]) &amp; " " &amp; _xlfn.XLOOKUP(A105,UNIDADES[UNIDADE],UNIDADES[POSICAO INTERNO/EXTERNO]))</f>
        <v>SUL INTERNO</v>
      </c>
      <c r="C105" s="2">
        <f>_xlfn.XLOOKUP(A105,UNIDADES[UNIDADE],UNIDADES[AREA PADRAO])</f>
        <v>54.336053357361202</v>
      </c>
      <c r="D105" s="2">
        <f>_xlfn.XLOOKUP(A105,UNIDADES[UNIDADE],UNIDADES[AREA TERRACO])</f>
        <v>0</v>
      </c>
      <c r="E105" s="1">
        <f>_xlfn.XLOOKUP(A105,UNIDADES[UNIDADE],UNIDADES[AREA CALCULO DE PRECO])</f>
        <v>54.336053357361202</v>
      </c>
      <c r="F105" s="2">
        <f>F103*0.95</f>
        <v>123.41429100000001</v>
      </c>
      <c r="G105" s="8">
        <f t="shared" si="19"/>
        <v>4.5978427406988404E-3</v>
      </c>
      <c r="H105" s="9">
        <f t="shared" si="13"/>
        <v>755017.79121071065</v>
      </c>
      <c r="I105" s="3">
        <f t="shared" si="14"/>
        <v>75501.779121071071</v>
      </c>
      <c r="J105" s="3">
        <f t="shared" si="15"/>
        <v>3629.8932269745706</v>
      </c>
      <c r="K105" s="3">
        <f t="shared" si="16"/>
        <v>21571.936891734593</v>
      </c>
      <c r="L105" s="3">
        <f t="shared" si="17"/>
        <v>339758.00604481978</v>
      </c>
      <c r="M105" s="3" t="s">
        <v>386</v>
      </c>
      <c r="N105" s="5">
        <f t="shared" si="18"/>
        <v>13895.337341581588</v>
      </c>
    </row>
    <row r="106" spans="1:14" x14ac:dyDescent="0.4">
      <c r="A106" t="s">
        <v>199</v>
      </c>
      <c r="B106" t="str">
        <f>TRIM(_xlfn.XLOOKUP(A106,UNIDADES[UNIDADE],UNIDADES[POSICAO NASCENTE/POENTE]) &amp; " " &amp; _xlfn.XLOOKUP(A106,UNIDADES[UNIDADE],UNIDADES[POSICAO NORTE/SUL]) &amp; " " &amp; _xlfn.XLOOKUP(A106,UNIDADES[UNIDADE],UNIDADES[POSICAO INTERNO/EXTERNO]))</f>
        <v>POENTE SUL INTERNO</v>
      </c>
      <c r="C106" s="2">
        <f>_xlfn.XLOOKUP(A106,UNIDADES[UNIDADE],UNIDADES[AREA PADRAO])</f>
        <v>59.501049999999999</v>
      </c>
      <c r="D106" s="2">
        <f>_xlfn.XLOOKUP(A106,UNIDADES[UNIDADE],UNIDADES[AREA TERRACO])</f>
        <v>0</v>
      </c>
      <c r="E106" s="1">
        <f>_xlfn.XLOOKUP(A106,UNIDADES[UNIDADE],UNIDADES[AREA CALCULO DE PRECO])</f>
        <v>59.501049999999999</v>
      </c>
      <c r="F106" s="2">
        <f>F103*0.95</f>
        <v>123.41429100000001</v>
      </c>
      <c r="G106" s="8">
        <f t="shared" si="19"/>
        <v>5.0348977134423364E-3</v>
      </c>
      <c r="H106" s="9">
        <f t="shared" si="13"/>
        <v>826787.16192831297</v>
      </c>
      <c r="I106" s="3">
        <f t="shared" si="14"/>
        <v>82678.7161928313</v>
      </c>
      <c r="J106" s="3">
        <f t="shared" si="15"/>
        <v>3974.9382785015046</v>
      </c>
      <c r="K106" s="3">
        <f t="shared" si="16"/>
        <v>23622.490340808941</v>
      </c>
      <c r="L106" s="3">
        <f t="shared" si="17"/>
        <v>372054.22286774084</v>
      </c>
      <c r="M106" s="3" t="s">
        <v>386</v>
      </c>
      <c r="N106" s="5">
        <f t="shared" si="18"/>
        <v>13895.337341581586</v>
      </c>
    </row>
    <row r="107" spans="1:14" x14ac:dyDescent="0.4">
      <c r="A107" t="s">
        <v>200</v>
      </c>
      <c r="B107" t="str">
        <f>TRIM(_xlfn.XLOOKUP(A107,UNIDADES[UNIDADE],UNIDADES[POSICAO NASCENTE/POENTE]) &amp; " " &amp; _xlfn.XLOOKUP(A107,UNIDADES[UNIDADE],UNIDADES[POSICAO NORTE/SUL]) &amp; " " &amp; _xlfn.XLOOKUP(A107,UNIDADES[UNIDADE],UNIDADES[POSICAO INTERNO/EXTERNO]))</f>
        <v>POENTE NORTE EXTERNO</v>
      </c>
      <c r="C107" s="2">
        <f>_xlfn.XLOOKUP(A107,UNIDADES[UNIDADE],UNIDADES[AREA PADRAO])</f>
        <v>58.9135503202302</v>
      </c>
      <c r="D107" s="2">
        <f>_xlfn.XLOOKUP(A107,UNIDADES[UNIDADE],UNIDADES[AREA TERRACO])</f>
        <v>0</v>
      </c>
      <c r="E107" s="1">
        <f>_xlfn.XLOOKUP(A107,UNIDADES[UNIDADE],UNIDADES[AREA CALCULO DE PRECO])</f>
        <v>58.9135503202302</v>
      </c>
      <c r="F107" s="2">
        <f>F102*0.9</f>
        <v>111.35124000000002</v>
      </c>
      <c r="G107" s="8">
        <f t="shared" si="19"/>
        <v>4.4979106391041766E-3</v>
      </c>
      <c r="H107" s="9">
        <f t="shared" si="13"/>
        <v>738607.80964496895</v>
      </c>
      <c r="I107" s="3">
        <f t="shared" si="14"/>
        <v>73860.780964496895</v>
      </c>
      <c r="J107" s="3">
        <f t="shared" si="15"/>
        <v>3550.9990848315815</v>
      </c>
      <c r="K107" s="3">
        <f t="shared" si="16"/>
        <v>21103.080275570541</v>
      </c>
      <c r="L107" s="3">
        <f t="shared" si="17"/>
        <v>332373.51434023603</v>
      </c>
      <c r="M107" s="3" t="s">
        <v>386</v>
      </c>
      <c r="N107" s="5">
        <f t="shared" si="18"/>
        <v>12537.146473607447</v>
      </c>
    </row>
    <row r="108" spans="1:14" x14ac:dyDescent="0.4">
      <c r="A108" t="s">
        <v>340</v>
      </c>
      <c r="B108" t="str">
        <f>TRIM(_xlfn.XLOOKUP(A108,UNIDADES[UNIDADE],UNIDADES[POSICAO NASCENTE/POENTE]) &amp; " " &amp; _xlfn.XLOOKUP(A108,UNIDADES[UNIDADE],UNIDADES[POSICAO NORTE/SUL]) &amp; " " &amp; _xlfn.XLOOKUP(A108,UNIDADES[UNIDADE],UNIDADES[POSICAO INTERNO/EXTERNO]))</f>
        <v>NORTE EXTERNO</v>
      </c>
      <c r="C108" s="2">
        <f>_xlfn.XLOOKUP(A108,UNIDADES[UNIDADE],UNIDADES[AREA PADRAO])</f>
        <v>48.331200057960999</v>
      </c>
      <c r="D108" s="2">
        <f>_xlfn.XLOOKUP(A108,UNIDADES[UNIDADE],UNIDADES[AREA TERRACO])</f>
        <v>0</v>
      </c>
      <c r="E108" s="1">
        <f>_xlfn.XLOOKUP(A108,UNIDADES[UNIDADE],UNIDADES[AREA CALCULO DE PRECO])</f>
        <v>48.331200057960999</v>
      </c>
      <c r="F108" s="2">
        <f>F102*0.95</f>
        <v>117.53742000000001</v>
      </c>
      <c r="G108" s="8">
        <f t="shared" si="19"/>
        <v>3.8949716599199187E-3</v>
      </c>
      <c r="H108" s="9">
        <f t="shared" si="13"/>
        <v>639598.40850365302</v>
      </c>
      <c r="I108" s="3">
        <f t="shared" si="14"/>
        <v>63959.840850365305</v>
      </c>
      <c r="J108" s="3">
        <f t="shared" si="15"/>
        <v>3074.9923485752547</v>
      </c>
      <c r="K108" s="3">
        <f t="shared" si="16"/>
        <v>18274.240242961514</v>
      </c>
      <c r="L108" s="3">
        <f t="shared" si="17"/>
        <v>287819.28382664389</v>
      </c>
      <c r="M108" s="3" t="s">
        <v>386</v>
      </c>
      <c r="N108" s="5">
        <f t="shared" si="18"/>
        <v>13233.654611030084</v>
      </c>
    </row>
    <row r="109" spans="1:14" x14ac:dyDescent="0.4">
      <c r="A109" t="s">
        <v>341</v>
      </c>
      <c r="B109" t="str">
        <f>TRIM(_xlfn.XLOOKUP(A109,UNIDADES[UNIDADE],UNIDADES[POSICAO NASCENTE/POENTE]) &amp; " " &amp; _xlfn.XLOOKUP(A109,UNIDADES[UNIDADE],UNIDADES[POSICAO NORTE/SUL]) &amp; " " &amp; _xlfn.XLOOKUP(A109,UNIDADES[UNIDADE],UNIDADES[POSICAO INTERNO/EXTERNO]))</f>
        <v>NORTE EXTERNO</v>
      </c>
      <c r="C109" s="2">
        <f>_xlfn.XLOOKUP(A109,UNIDADES[UNIDADE],UNIDADES[AREA PADRAO])</f>
        <v>49.052399941747503</v>
      </c>
      <c r="D109" s="2">
        <f>_xlfn.XLOOKUP(A109,UNIDADES[UNIDADE],UNIDADES[AREA TERRACO])</f>
        <v>0</v>
      </c>
      <c r="E109" s="1">
        <f>_xlfn.XLOOKUP(A109,UNIDADES[UNIDADE],UNIDADES[AREA CALCULO DE PRECO])</f>
        <v>49.052399941747503</v>
      </c>
      <c r="F109" s="2">
        <f>F102*0.95</f>
        <v>117.53742000000001</v>
      </c>
      <c r="G109" s="8">
        <f t="shared" si="19"/>
        <v>3.9530925653623091E-3</v>
      </c>
      <c r="H109" s="9">
        <f t="shared" si="13"/>
        <v>649142.51867119875</v>
      </c>
      <c r="I109" s="3">
        <f t="shared" si="14"/>
        <v>64914.251867119878</v>
      </c>
      <c r="J109" s="3">
        <f t="shared" si="15"/>
        <v>3120.8774936115324</v>
      </c>
      <c r="K109" s="3">
        <f t="shared" si="16"/>
        <v>18546.929104891395</v>
      </c>
      <c r="L109" s="3">
        <f t="shared" si="17"/>
        <v>292114.13340203947</v>
      </c>
      <c r="M109" s="3" t="s">
        <v>386</v>
      </c>
      <c r="N109" s="5">
        <f t="shared" si="18"/>
        <v>13233.654611030086</v>
      </c>
    </row>
    <row r="110" spans="1:14" x14ac:dyDescent="0.4">
      <c r="A110" t="s">
        <v>342</v>
      </c>
      <c r="B110" t="str">
        <f>TRIM(_xlfn.XLOOKUP(A110,UNIDADES[UNIDADE],UNIDADES[POSICAO NASCENTE/POENTE]) &amp; " " &amp; _xlfn.XLOOKUP(A110,UNIDADES[UNIDADE],UNIDADES[POSICAO NORTE/SUL]) &amp; " " &amp; _xlfn.XLOOKUP(A110,UNIDADES[UNIDADE],UNIDADES[POSICAO INTERNO/EXTERNO]))</f>
        <v>NORTE EXTERNO</v>
      </c>
      <c r="C110" s="2">
        <f>_xlfn.XLOOKUP(A110,UNIDADES[UNIDADE],UNIDADES[AREA PADRAO])</f>
        <v>57.580400001903698</v>
      </c>
      <c r="D110" s="2">
        <f>_xlfn.XLOOKUP(A110,UNIDADES[UNIDADE],UNIDADES[AREA TERRACO])</f>
        <v>0</v>
      </c>
      <c r="E110" s="1">
        <f>_xlfn.XLOOKUP(A110,UNIDADES[UNIDADE],UNIDADES[AREA CALCULO DE PRECO])</f>
        <v>57.580400001903698</v>
      </c>
      <c r="F110" s="2">
        <f>F102*0.9</f>
        <v>111.35124000000002</v>
      </c>
      <c r="G110" s="8">
        <f t="shared" si="19"/>
        <v>4.396127756087758E-3</v>
      </c>
      <c r="H110" s="9">
        <f t="shared" si="13"/>
        <v>721893.90883277322</v>
      </c>
      <c r="I110" s="3">
        <f t="shared" si="14"/>
        <v>72189.39088327733</v>
      </c>
      <c r="J110" s="3">
        <f t="shared" si="15"/>
        <v>3470.643792465256</v>
      </c>
      <c r="K110" s="3">
        <f t="shared" si="16"/>
        <v>20625.54025236495</v>
      </c>
      <c r="L110" s="3">
        <f t="shared" si="17"/>
        <v>324852.25897474797</v>
      </c>
      <c r="M110" s="3" t="s">
        <v>386</v>
      </c>
      <c r="N110" s="5">
        <f t="shared" si="18"/>
        <v>12537.146473607449</v>
      </c>
    </row>
    <row r="111" spans="1:14" x14ac:dyDescent="0.4">
      <c r="A111" t="s">
        <v>201</v>
      </c>
      <c r="B111" t="str">
        <f>TRIM(_xlfn.XLOOKUP(A111,UNIDADES[UNIDADE],UNIDADES[POSICAO NASCENTE/POENTE]) &amp; " " &amp; _xlfn.XLOOKUP(A111,UNIDADES[UNIDADE],UNIDADES[POSICAO NORTE/SUL]) &amp; " " &amp; _xlfn.XLOOKUP(A111,UNIDADES[UNIDADE],UNIDADES[POSICAO INTERNO/EXTERNO]))</f>
        <v>NASCENTE NORTE EXTERNO</v>
      </c>
      <c r="C111" s="2">
        <f>_xlfn.XLOOKUP(A111,UNIDADES[UNIDADE],UNIDADES[AREA PADRAO])</f>
        <v>107.76375755900401</v>
      </c>
      <c r="D111" s="2">
        <f>_xlfn.XLOOKUP(A111,UNIDADES[UNIDADE],UNIDADES[AREA TERRACO])</f>
        <v>0</v>
      </c>
      <c r="E111" s="1">
        <f>_xlfn.XLOOKUP(A111,UNIDADES[UNIDADE],UNIDADES[AREA CALCULO DE PRECO])</f>
        <v>107.76375755900401</v>
      </c>
      <c r="F111" s="2">
        <f>F102*1.02</f>
        <v>126.19807200000002</v>
      </c>
      <c r="G111" s="8">
        <f t="shared" si="19"/>
        <v>9.32450993361905E-3</v>
      </c>
      <c r="H111" s="9">
        <f t="shared" si="13"/>
        <v>1531190.0148053623</v>
      </c>
      <c r="I111" s="3">
        <f t="shared" si="14"/>
        <v>153119.00148053624</v>
      </c>
      <c r="J111" s="3">
        <f t="shared" si="15"/>
        <v>7361.4904557950113</v>
      </c>
      <c r="K111" s="3">
        <f t="shared" si="16"/>
        <v>43748.286137296069</v>
      </c>
      <c r="L111" s="3">
        <f t="shared" si="17"/>
        <v>689035.50666241301</v>
      </c>
      <c r="M111" s="3" t="s">
        <v>386</v>
      </c>
      <c r="N111" s="5">
        <f t="shared" si="18"/>
        <v>14208.766003421773</v>
      </c>
    </row>
    <row r="112" spans="1:14" x14ac:dyDescent="0.4">
      <c r="A112" t="s">
        <v>202</v>
      </c>
      <c r="B112" t="str">
        <f>TRIM(_xlfn.XLOOKUP(A112,UNIDADES[UNIDADE],UNIDADES[POSICAO NASCENTE/POENTE]) &amp; " " &amp; _xlfn.XLOOKUP(A112,UNIDADES[UNIDADE],UNIDADES[POSICAO NORTE/SUL]) &amp; " " &amp; _xlfn.XLOOKUP(A112,UNIDADES[UNIDADE],UNIDADES[POSICAO INTERNO/EXTERNO]))</f>
        <v>NASCENTE SUL INTERNO</v>
      </c>
      <c r="C112" s="2">
        <f>_xlfn.XLOOKUP(A112,UNIDADES[UNIDADE],UNIDADES[AREA PADRAO])</f>
        <v>107.333257557005</v>
      </c>
      <c r="D112" s="2">
        <f>_xlfn.XLOOKUP(A112,UNIDADES[UNIDADE],UNIDADES[AREA TERRACO])</f>
        <v>0</v>
      </c>
      <c r="E112" s="1">
        <f>_xlfn.XLOOKUP(A112,UNIDADES[UNIDADE],UNIDADES[AREA CALCULO DE PRECO])</f>
        <v>107.333257557005</v>
      </c>
      <c r="F112" s="2">
        <f>F103*1.02</f>
        <v>132.50797560000001</v>
      </c>
      <c r="G112" s="8">
        <f t="shared" si="19"/>
        <v>9.7516229149442885E-3</v>
      </c>
      <c r="H112" s="9">
        <f t="shared" si="13"/>
        <v>1601326.7980631101</v>
      </c>
      <c r="I112" s="3">
        <f t="shared" si="14"/>
        <v>160132.67980631103</v>
      </c>
      <c r="J112" s="3">
        <f t="shared" si="15"/>
        <v>7698.6865291495678</v>
      </c>
      <c r="K112" s="3">
        <f t="shared" si="16"/>
        <v>45752.194230374582</v>
      </c>
      <c r="L112" s="3">
        <f t="shared" si="17"/>
        <v>720597.05912839959</v>
      </c>
      <c r="M112" s="3" t="s">
        <v>386</v>
      </c>
      <c r="N112" s="5">
        <f t="shared" si="18"/>
        <v>14919.204303592862</v>
      </c>
    </row>
    <row r="113" spans="1:14" x14ac:dyDescent="0.4">
      <c r="A113" t="s">
        <v>203</v>
      </c>
      <c r="B113" t="str">
        <f>TRIM(_xlfn.XLOOKUP(A113,UNIDADES[UNIDADE],UNIDADES[POSICAO NASCENTE/POENTE]) &amp; " " &amp; _xlfn.XLOOKUP(A113,UNIDADES[UNIDADE],UNIDADES[POSICAO NORTE/SUL]) &amp; " " &amp; _xlfn.XLOOKUP(A113,UNIDADES[UNIDADE],UNIDADES[POSICAO INTERNO/EXTERNO]))</f>
        <v>SUL INTERNO</v>
      </c>
      <c r="C113" s="2">
        <f>_xlfn.XLOOKUP(A113,UNIDADES[UNIDADE],UNIDADES[AREA PADRAO])</f>
        <v>75.988299987721106</v>
      </c>
      <c r="D113" s="2">
        <f>_xlfn.XLOOKUP(A113,UNIDADES[UNIDADE],UNIDADES[AREA TERRACO])</f>
        <v>0</v>
      </c>
      <c r="E113" s="1">
        <f>_xlfn.XLOOKUP(A113,UNIDADES[UNIDADE],UNIDADES[AREA CALCULO DE PRECO])</f>
        <v>75.988299987721106</v>
      </c>
      <c r="F113" s="2">
        <f>F112*0.95</f>
        <v>125.88257682</v>
      </c>
      <c r="G113" s="8">
        <f t="shared" si="19"/>
        <v>6.558626851352679E-3</v>
      </c>
      <c r="H113" s="9">
        <f t="shared" si="13"/>
        <v>1077000.7235895384</v>
      </c>
      <c r="I113" s="3">
        <f t="shared" si="14"/>
        <v>107700.07235895384</v>
      </c>
      <c r="J113" s="3">
        <f t="shared" si="15"/>
        <v>5177.8880941804728</v>
      </c>
      <c r="K113" s="3">
        <f t="shared" si="16"/>
        <v>30771.449245415384</v>
      </c>
      <c r="L113" s="3">
        <f t="shared" si="17"/>
        <v>484650.3256152923</v>
      </c>
      <c r="M113" s="3" t="s">
        <v>386</v>
      </c>
      <c r="N113" s="5">
        <f t="shared" si="18"/>
        <v>14173.244088413217</v>
      </c>
    </row>
    <row r="114" spans="1:14" x14ac:dyDescent="0.4">
      <c r="A114" t="s">
        <v>234</v>
      </c>
      <c r="B114" t="str">
        <f>TRIM(_xlfn.XLOOKUP(A114,UNIDADES[UNIDADE],UNIDADES[POSICAO NASCENTE/POENTE]) &amp; " " &amp; _xlfn.XLOOKUP(A114,UNIDADES[UNIDADE],UNIDADES[POSICAO NORTE/SUL]) &amp; " " &amp; _xlfn.XLOOKUP(A114,UNIDADES[UNIDADE],UNIDADES[POSICAO INTERNO/EXTERNO]))</f>
        <v>SUL INTERNO</v>
      </c>
      <c r="C114" s="2">
        <f>_xlfn.XLOOKUP(A114,UNIDADES[UNIDADE],UNIDADES[AREA PADRAO])</f>
        <v>54.312999998096998</v>
      </c>
      <c r="D114" s="2">
        <f>_xlfn.XLOOKUP(A114,UNIDADES[UNIDADE],UNIDADES[AREA TERRACO])</f>
        <v>0</v>
      </c>
      <c r="E114" s="1">
        <f>_xlfn.XLOOKUP(A114,UNIDADES[UNIDADE],UNIDADES[AREA CALCULO DE PRECO])</f>
        <v>54.312999998096998</v>
      </c>
      <c r="F114" s="2">
        <f>F112*0.95</f>
        <v>125.88257682</v>
      </c>
      <c r="G114" s="8">
        <f t="shared" si="19"/>
        <v>4.687809836811694E-3</v>
      </c>
      <c r="H114" s="9">
        <f t="shared" si="13"/>
        <v>769791.40614701528</v>
      </c>
      <c r="I114" s="3">
        <f t="shared" si="14"/>
        <v>76979.140614701537</v>
      </c>
      <c r="J114" s="3">
        <f t="shared" si="15"/>
        <v>3700.9202218606506</v>
      </c>
      <c r="K114" s="3">
        <f t="shared" si="16"/>
        <v>21994.040175629012</v>
      </c>
      <c r="L114" s="3">
        <f t="shared" si="17"/>
        <v>346406.13276615686</v>
      </c>
      <c r="M114" s="3" t="s">
        <v>386</v>
      </c>
      <c r="N114" s="5">
        <f t="shared" si="18"/>
        <v>14173.244088413216</v>
      </c>
    </row>
    <row r="115" spans="1:14" x14ac:dyDescent="0.4">
      <c r="A115" t="s">
        <v>235</v>
      </c>
      <c r="B115" t="str">
        <f>TRIM(_xlfn.XLOOKUP(A115,UNIDADES[UNIDADE],UNIDADES[POSICAO NASCENTE/POENTE]) &amp; " " &amp; _xlfn.XLOOKUP(A115,UNIDADES[UNIDADE],UNIDADES[POSICAO NORTE/SUL]) &amp; " " &amp; _xlfn.XLOOKUP(A115,UNIDADES[UNIDADE],UNIDADES[POSICAO INTERNO/EXTERNO]))</f>
        <v>POENTE SUL INTERNO</v>
      </c>
      <c r="C115" s="2">
        <f>_xlfn.XLOOKUP(A115,UNIDADES[UNIDADE],UNIDADES[AREA PADRAO])</f>
        <v>59.500987689683299</v>
      </c>
      <c r="D115" s="2">
        <f>_xlfn.XLOOKUP(A115,UNIDADES[UNIDADE],UNIDADES[AREA TERRACO])</f>
        <v>0</v>
      </c>
      <c r="E115" s="1">
        <f>_xlfn.XLOOKUP(A115,UNIDADES[UNIDADE],UNIDADES[AREA CALCULO DE PRECO])</f>
        <v>59.500987689683299</v>
      </c>
      <c r="F115" s="2">
        <f>F112*0.95</f>
        <v>125.88257682</v>
      </c>
      <c r="G115" s="8">
        <f t="shared" si="19"/>
        <v>5.1355902896448721E-3</v>
      </c>
      <c r="H115" s="9">
        <f t="shared" si="13"/>
        <v>843322.02202755143</v>
      </c>
      <c r="I115" s="3">
        <f t="shared" si="14"/>
        <v>84332.202202755143</v>
      </c>
      <c r="J115" s="3">
        <f t="shared" si="15"/>
        <v>4054.4327982093819</v>
      </c>
      <c r="K115" s="3">
        <f t="shared" si="16"/>
        <v>24094.914915072899</v>
      </c>
      <c r="L115" s="3">
        <f t="shared" si="17"/>
        <v>379494.90991239814</v>
      </c>
      <c r="M115" s="3" t="s">
        <v>386</v>
      </c>
      <c r="N115" s="5">
        <f t="shared" si="18"/>
        <v>14173.244088413217</v>
      </c>
    </row>
    <row r="116" spans="1:14" x14ac:dyDescent="0.4">
      <c r="A116" t="s">
        <v>236</v>
      </c>
      <c r="B116" t="str">
        <f>TRIM(_xlfn.XLOOKUP(A116,UNIDADES[UNIDADE],UNIDADES[POSICAO NASCENTE/POENTE]) &amp; " " &amp; _xlfn.XLOOKUP(A116,UNIDADES[UNIDADE],UNIDADES[POSICAO NORTE/SUL]) &amp; " " &amp; _xlfn.XLOOKUP(A116,UNIDADES[UNIDADE],UNIDADES[POSICAO INTERNO/EXTERNO]))</f>
        <v>POENTE NORTE EXTERNO</v>
      </c>
      <c r="C116" s="2">
        <f>_xlfn.XLOOKUP(A116,UNIDADES[UNIDADE],UNIDADES[AREA PADRAO])</f>
        <v>58.913550312519497</v>
      </c>
      <c r="D116" s="2">
        <f>_xlfn.XLOOKUP(A116,UNIDADES[UNIDADE],UNIDADES[AREA TERRACO])</f>
        <v>0</v>
      </c>
      <c r="E116" s="1">
        <f>_xlfn.XLOOKUP(A116,UNIDADES[UNIDADE],UNIDADES[AREA CALCULO DE PRECO])</f>
        <v>58.913550312519497</v>
      </c>
      <c r="F116" s="2">
        <f>F111*0.9</f>
        <v>113.57826480000003</v>
      </c>
      <c r="G116" s="8">
        <f t="shared" si="19"/>
        <v>4.5878688512857929E-3</v>
      </c>
      <c r="H116" s="9">
        <f t="shared" si="13"/>
        <v>753379.96573926474</v>
      </c>
      <c r="I116" s="3">
        <f t="shared" si="14"/>
        <v>75337.996573926474</v>
      </c>
      <c r="J116" s="3">
        <f t="shared" si="15"/>
        <v>3622.0190660541575</v>
      </c>
      <c r="K116" s="3">
        <f t="shared" si="16"/>
        <v>21525.141878264705</v>
      </c>
      <c r="L116" s="3">
        <f t="shared" si="17"/>
        <v>339020.98458266916</v>
      </c>
      <c r="M116" s="3" t="s">
        <v>386</v>
      </c>
      <c r="N116" s="5">
        <f t="shared" si="18"/>
        <v>12787.889403079596</v>
      </c>
    </row>
    <row r="117" spans="1:14" x14ac:dyDescent="0.4">
      <c r="A117" t="s">
        <v>343</v>
      </c>
      <c r="B117" t="str">
        <f>TRIM(_xlfn.XLOOKUP(A117,UNIDADES[UNIDADE],UNIDADES[POSICAO NASCENTE/POENTE]) &amp; " " &amp; _xlfn.XLOOKUP(A117,UNIDADES[UNIDADE],UNIDADES[POSICAO NORTE/SUL]) &amp; " " &amp; _xlfn.XLOOKUP(A117,UNIDADES[UNIDADE],UNIDADES[POSICAO INTERNO/EXTERNO]))</f>
        <v>NORTE EXTERNO</v>
      </c>
      <c r="C117" s="2">
        <f>_xlfn.XLOOKUP(A117,UNIDADES[UNIDADE],UNIDADES[AREA PADRAO])</f>
        <v>48.827200057960503</v>
      </c>
      <c r="D117" s="2">
        <f>_xlfn.XLOOKUP(A117,UNIDADES[UNIDADE],UNIDADES[AREA TERRACO])</f>
        <v>0</v>
      </c>
      <c r="E117" s="1">
        <f>_xlfn.XLOOKUP(A117,UNIDADES[UNIDADE],UNIDADES[AREA CALCULO DE PRECO])</f>
        <v>48.827200057960503</v>
      </c>
      <c r="F117" s="2">
        <f>F111*0.95</f>
        <v>119.88816840000001</v>
      </c>
      <c r="G117" s="8">
        <f t="shared" si="19"/>
        <v>4.0136427697955264E-3</v>
      </c>
      <c r="H117" s="9">
        <f t="shared" si="13"/>
        <v>659085.54721453169</v>
      </c>
      <c r="I117" s="3">
        <f t="shared" si="14"/>
        <v>65908.554721453169</v>
      </c>
      <c r="J117" s="3">
        <f t="shared" si="15"/>
        <v>3168.6805154544791</v>
      </c>
      <c r="K117" s="3">
        <f t="shared" si="16"/>
        <v>18831.015634700907</v>
      </c>
      <c r="L117" s="3">
        <f t="shared" si="17"/>
        <v>296588.49624653929</v>
      </c>
      <c r="M117" s="3" t="s">
        <v>386</v>
      </c>
      <c r="N117" s="5">
        <f t="shared" si="18"/>
        <v>13498.327703250685</v>
      </c>
    </row>
    <row r="118" spans="1:14" x14ac:dyDescent="0.4">
      <c r="A118" t="s">
        <v>344</v>
      </c>
      <c r="B118" t="str">
        <f>TRIM(_xlfn.XLOOKUP(A118,UNIDADES[UNIDADE],UNIDADES[POSICAO NASCENTE/POENTE]) &amp; " " &amp; _xlfn.XLOOKUP(A118,UNIDADES[UNIDADE],UNIDADES[POSICAO NORTE/SUL]) &amp; " " &amp; _xlfn.XLOOKUP(A118,UNIDADES[UNIDADE],UNIDADES[POSICAO INTERNO/EXTERNO]))</f>
        <v>NORTE EXTERNO</v>
      </c>
      <c r="C118" s="2">
        <f>_xlfn.XLOOKUP(A118,UNIDADES[UNIDADE],UNIDADES[AREA PADRAO])</f>
        <v>48.566399941747498</v>
      </c>
      <c r="D118" s="2">
        <f>_xlfn.XLOOKUP(A118,UNIDADES[UNIDADE],UNIDADES[AREA TERRACO])</f>
        <v>0</v>
      </c>
      <c r="E118" s="1">
        <f>_xlfn.XLOOKUP(A118,UNIDADES[UNIDADE],UNIDADES[AREA CALCULO DE PRECO])</f>
        <v>48.566399941747498</v>
      </c>
      <c r="F118" s="2">
        <f>F111*0.95</f>
        <v>119.88816840000001</v>
      </c>
      <c r="G118" s="8">
        <f t="shared" si="19"/>
        <v>3.9922047496027324E-3</v>
      </c>
      <c r="H118" s="9">
        <f t="shared" si="13"/>
        <v>655565.18178084271</v>
      </c>
      <c r="I118" s="3">
        <f t="shared" si="14"/>
        <v>65556.518178084269</v>
      </c>
      <c r="J118" s="3">
        <f t="shared" si="15"/>
        <v>3151.7556816386668</v>
      </c>
      <c r="K118" s="3">
        <f t="shared" si="16"/>
        <v>18730.433765166934</v>
      </c>
      <c r="L118" s="3">
        <f t="shared" si="17"/>
        <v>295004.33180137922</v>
      </c>
      <c r="M118" s="3" t="s">
        <v>386</v>
      </c>
      <c r="N118" s="5">
        <f t="shared" si="18"/>
        <v>13498.327703250685</v>
      </c>
    </row>
    <row r="119" spans="1:14" x14ac:dyDescent="0.4">
      <c r="A119" t="s">
        <v>345</v>
      </c>
      <c r="B119" t="str">
        <f>TRIM(_xlfn.XLOOKUP(A119,UNIDADES[UNIDADE],UNIDADES[POSICAO NASCENTE/POENTE]) &amp; " " &amp; _xlfn.XLOOKUP(A119,UNIDADES[UNIDADE],UNIDADES[POSICAO NORTE/SUL]) &amp; " " &amp; _xlfn.XLOOKUP(A119,UNIDADES[UNIDADE],UNIDADES[POSICAO INTERNO/EXTERNO]))</f>
        <v>NORTE EXTERNO</v>
      </c>
      <c r="C119" s="2">
        <f>_xlfn.XLOOKUP(A119,UNIDADES[UNIDADE],UNIDADES[AREA PADRAO])</f>
        <v>56.968400000000202</v>
      </c>
      <c r="D119" s="2">
        <f>_xlfn.XLOOKUP(A119,UNIDADES[UNIDADE],UNIDADES[AREA TERRACO])</f>
        <v>0</v>
      </c>
      <c r="E119" s="1">
        <f>_xlfn.XLOOKUP(A119,UNIDADES[UNIDADE],UNIDADES[AREA CALCULO DE PRECO])</f>
        <v>56.968400000000202</v>
      </c>
      <c r="F119" s="2">
        <f>F111*0.9</f>
        <v>113.57826480000003</v>
      </c>
      <c r="G119" s="8">
        <f t="shared" si="19"/>
        <v>4.4363910591219136E-3</v>
      </c>
      <c r="H119" s="9">
        <f t="shared" si="13"/>
        <v>728505.59867040243</v>
      </c>
      <c r="I119" s="3">
        <f t="shared" si="14"/>
        <v>72850.55986704024</v>
      </c>
      <c r="J119" s="3">
        <f t="shared" si="15"/>
        <v>3502.4307628384731</v>
      </c>
      <c r="K119" s="3">
        <f t="shared" si="16"/>
        <v>20814.445676297211</v>
      </c>
      <c r="L119" s="3">
        <f t="shared" si="17"/>
        <v>327827.51940168109</v>
      </c>
      <c r="M119" s="3" t="s">
        <v>386</v>
      </c>
      <c r="N119" s="5">
        <f t="shared" si="18"/>
        <v>12787.8894030796</v>
      </c>
    </row>
    <row r="120" spans="1:14" x14ac:dyDescent="0.4">
      <c r="A120" t="s">
        <v>309</v>
      </c>
      <c r="B120" t="str">
        <f>TRIM(_xlfn.XLOOKUP(A120,UNIDADES[UNIDADE],UNIDADES[POSICAO NASCENTE/POENTE]) &amp; " " &amp; _xlfn.XLOOKUP(A120,UNIDADES[UNIDADE],UNIDADES[POSICAO NORTE/SUL]) &amp; " " &amp; _xlfn.XLOOKUP(A120,UNIDADES[UNIDADE],UNIDADES[POSICAO INTERNO/EXTERNO]))</f>
        <v>NASCENTE NORTE EXTERNO</v>
      </c>
      <c r="C120" s="2">
        <f>_xlfn.XLOOKUP(A120,UNIDADES[UNIDADE],UNIDADES[AREA PADRAO])</f>
        <v>106.93295755635</v>
      </c>
      <c r="D120" s="2">
        <f>_xlfn.XLOOKUP(A120,UNIDADES[UNIDADE],UNIDADES[AREA TERRACO])</f>
        <v>0</v>
      </c>
      <c r="E120" s="1">
        <f>_xlfn.XLOOKUP(A120,UNIDADES[UNIDADE],UNIDADES[AREA CALCULO DE PRECO])</f>
        <v>106.93295755635</v>
      </c>
      <c r="F120" s="2">
        <f>F111*1.015</f>
        <v>128.09104308000002</v>
      </c>
      <c r="G120" s="8">
        <f t="shared" si="19"/>
        <v>9.3914123752208683E-3</v>
      </c>
      <c r="H120" s="9">
        <f t="shared" si="13"/>
        <v>1542176.1525515895</v>
      </c>
      <c r="I120" s="3">
        <f t="shared" si="14"/>
        <v>154217.61525515895</v>
      </c>
      <c r="J120" s="3">
        <f t="shared" si="15"/>
        <v>7414.3084257287956</v>
      </c>
      <c r="K120" s="3">
        <f t="shared" si="16"/>
        <v>44062.175787188273</v>
      </c>
      <c r="L120" s="3">
        <f t="shared" si="17"/>
        <v>693979.26864821534</v>
      </c>
      <c r="M120" s="3" t="s">
        <v>386</v>
      </c>
      <c r="N120" s="5">
        <f t="shared" si="18"/>
        <v>14421.8974934731</v>
      </c>
    </row>
    <row r="121" spans="1:14" x14ac:dyDescent="0.4">
      <c r="A121" t="s">
        <v>293</v>
      </c>
      <c r="B121" t="str">
        <f>TRIM(_xlfn.XLOOKUP(A121,UNIDADES[UNIDADE],UNIDADES[POSICAO NASCENTE/POENTE]) &amp; " " &amp; _xlfn.XLOOKUP(A121,UNIDADES[UNIDADE],UNIDADES[POSICAO NORTE/SUL]) &amp; " " &amp; _xlfn.XLOOKUP(A121,UNIDADES[UNIDADE],UNIDADES[POSICAO INTERNO/EXTERNO]))</f>
        <v>NASCENTE SUL INTERNO</v>
      </c>
      <c r="C121" s="2">
        <f>_xlfn.XLOOKUP(A121,UNIDADES[UNIDADE],UNIDADES[AREA PADRAO])</f>
        <v>107.136657558349</v>
      </c>
      <c r="D121" s="2">
        <f>_xlfn.XLOOKUP(A121,UNIDADES[UNIDADE],UNIDADES[AREA TERRACO])</f>
        <v>0</v>
      </c>
      <c r="E121" s="1">
        <f>_xlfn.XLOOKUP(A121,UNIDADES[UNIDADE],UNIDADES[AREA CALCULO DE PRECO])</f>
        <v>107.136657558349</v>
      </c>
      <c r="F121" s="2">
        <f>F112*1.015</f>
        <v>134.49559523400001</v>
      </c>
      <c r="G121" s="8">
        <f t="shared" si="19"/>
        <v>9.8797674950514489E-3</v>
      </c>
      <c r="H121" s="9">
        <f t="shared" si="13"/>
        <v>1622369.5877548312</v>
      </c>
      <c r="I121" s="3">
        <f t="shared" si="14"/>
        <v>162236.95877548313</v>
      </c>
      <c r="J121" s="3">
        <f t="shared" si="15"/>
        <v>7799.8537872828419</v>
      </c>
      <c r="K121" s="3">
        <f t="shared" si="16"/>
        <v>46353.41679299518</v>
      </c>
      <c r="L121" s="3">
        <f t="shared" si="17"/>
        <v>730066.31448967406</v>
      </c>
      <c r="M121" s="3" t="s">
        <v>386</v>
      </c>
      <c r="N121" s="5">
        <f t="shared" si="18"/>
        <v>15142.992368146754</v>
      </c>
    </row>
    <row r="122" spans="1:14" x14ac:dyDescent="0.4">
      <c r="A122" t="s">
        <v>292</v>
      </c>
      <c r="B122" t="str">
        <f>TRIM(_xlfn.XLOOKUP(A122,UNIDADES[UNIDADE],UNIDADES[POSICAO NASCENTE/POENTE]) &amp; " " &amp; _xlfn.XLOOKUP(A122,UNIDADES[UNIDADE],UNIDADES[POSICAO NORTE/SUL]) &amp; " " &amp; _xlfn.XLOOKUP(A122,UNIDADES[UNIDADE],UNIDADES[POSICAO INTERNO/EXTERNO]))</f>
        <v>SUL INTERNO</v>
      </c>
      <c r="C122" s="2">
        <f>_xlfn.XLOOKUP(A122,UNIDADES[UNIDADE],UNIDADES[AREA PADRAO])</f>
        <v>75.256824991647093</v>
      </c>
      <c r="D122" s="2">
        <f>_xlfn.XLOOKUP(A122,UNIDADES[UNIDADE],UNIDADES[AREA TERRACO])</f>
        <v>0</v>
      </c>
      <c r="E122" s="1">
        <f>_xlfn.XLOOKUP(A122,UNIDADES[UNIDADE],UNIDADES[AREA CALCULO DE PRECO])</f>
        <v>75.256824991647093</v>
      </c>
      <c r="F122" s="2">
        <f>F121*0.95</f>
        <v>127.7708154723</v>
      </c>
      <c r="G122" s="8">
        <f t="shared" si="19"/>
        <v>6.5929248939084872E-3</v>
      </c>
      <c r="H122" s="9">
        <f t="shared" si="13"/>
        <v>1082632.8501744946</v>
      </c>
      <c r="I122" s="3">
        <f t="shared" si="14"/>
        <v>108263.28501744947</v>
      </c>
      <c r="J122" s="3">
        <f t="shared" si="15"/>
        <v>5204.9656258389159</v>
      </c>
      <c r="K122" s="3">
        <f t="shared" si="16"/>
        <v>30932.367147842706</v>
      </c>
      <c r="L122" s="3">
        <f t="shared" si="17"/>
        <v>487184.78257852257</v>
      </c>
      <c r="M122" s="3" t="s">
        <v>386</v>
      </c>
      <c r="N122" s="5">
        <f t="shared" si="18"/>
        <v>14385.842749739417</v>
      </c>
    </row>
    <row r="123" spans="1:14" x14ac:dyDescent="0.4">
      <c r="A123" t="s">
        <v>326</v>
      </c>
      <c r="B123" t="str">
        <f>TRIM(_xlfn.XLOOKUP(A123,UNIDADES[UNIDADE],UNIDADES[POSICAO NASCENTE/POENTE]) &amp; " " &amp; _xlfn.XLOOKUP(A123,UNIDADES[UNIDADE],UNIDADES[POSICAO NORTE/SUL]) &amp; " " &amp; _xlfn.XLOOKUP(A123,UNIDADES[UNIDADE],UNIDADES[POSICAO INTERNO/EXTERNO]))</f>
        <v>SUL INTERNO</v>
      </c>
      <c r="C123" s="2">
        <f>_xlfn.XLOOKUP(A123,UNIDADES[UNIDADE],UNIDADES[AREA PADRAO])</f>
        <v>54.336053357361202</v>
      </c>
      <c r="D123" s="2">
        <f>_xlfn.XLOOKUP(A123,UNIDADES[UNIDADE],UNIDADES[AREA TERRACO])</f>
        <v>0</v>
      </c>
      <c r="E123" s="1">
        <f>_xlfn.XLOOKUP(A123,UNIDADES[UNIDADE],UNIDADES[AREA CALCULO DE PRECO])</f>
        <v>54.336053357361202</v>
      </c>
      <c r="F123" s="2">
        <f>F121*0.95</f>
        <v>127.7708154723</v>
      </c>
      <c r="G123" s="8">
        <f t="shared" si="19"/>
        <v>4.7601465894455096E-3</v>
      </c>
      <c r="H123" s="9">
        <f t="shared" si="13"/>
        <v>781669.91924044874</v>
      </c>
      <c r="I123" s="3">
        <f t="shared" si="14"/>
        <v>78166.99192404488</v>
      </c>
      <c r="J123" s="3">
        <f t="shared" si="15"/>
        <v>3758.0284578867727</v>
      </c>
      <c r="K123" s="3">
        <f t="shared" si="16"/>
        <v>22333.426264012822</v>
      </c>
      <c r="L123" s="3">
        <f t="shared" si="17"/>
        <v>351751.46365820192</v>
      </c>
      <c r="M123" s="3" t="s">
        <v>386</v>
      </c>
      <c r="N123" s="5">
        <f t="shared" si="18"/>
        <v>14385.842749739417</v>
      </c>
    </row>
    <row r="124" spans="1:14" x14ac:dyDescent="0.4">
      <c r="A124" t="s">
        <v>283</v>
      </c>
      <c r="B124" t="str">
        <f>TRIM(_xlfn.XLOOKUP(A124,UNIDADES[UNIDADE],UNIDADES[POSICAO NASCENTE/POENTE]) &amp; " " &amp; _xlfn.XLOOKUP(A124,UNIDADES[UNIDADE],UNIDADES[POSICAO NORTE/SUL]) &amp; " " &amp; _xlfn.XLOOKUP(A124,UNIDADES[UNIDADE],UNIDADES[POSICAO INTERNO/EXTERNO]))</f>
        <v>POENTE SUL INTERNO</v>
      </c>
      <c r="C124" s="2">
        <f>_xlfn.XLOOKUP(A124,UNIDADES[UNIDADE],UNIDADES[AREA PADRAO])</f>
        <v>59.501049999999999</v>
      </c>
      <c r="D124" s="2">
        <f>_xlfn.XLOOKUP(A124,UNIDADES[UNIDADE],UNIDADES[AREA TERRACO])</f>
        <v>0</v>
      </c>
      <c r="E124" s="1">
        <f>_xlfn.XLOOKUP(A124,UNIDADES[UNIDADE],UNIDADES[AREA CALCULO DE PRECO])</f>
        <v>59.501049999999999</v>
      </c>
      <c r="F124" s="2">
        <f>F121*0.95</f>
        <v>127.7708154723</v>
      </c>
      <c r="G124" s="8">
        <f t="shared" si="19"/>
        <v>5.2126296027268509E-3</v>
      </c>
      <c r="H124" s="9">
        <f t="shared" si="13"/>
        <v>855972.74874438241</v>
      </c>
      <c r="I124" s="3">
        <f t="shared" si="14"/>
        <v>85597.274874438241</v>
      </c>
      <c r="J124" s="3">
        <f t="shared" si="15"/>
        <v>4115.2535997326077</v>
      </c>
      <c r="K124" s="3">
        <f t="shared" si="16"/>
        <v>24456.364249839498</v>
      </c>
      <c r="L124" s="3">
        <f t="shared" si="17"/>
        <v>385187.73693497211</v>
      </c>
      <c r="M124" s="3" t="s">
        <v>386</v>
      </c>
      <c r="N124" s="5">
        <f t="shared" si="18"/>
        <v>14385.842749739415</v>
      </c>
    </row>
    <row r="125" spans="1:14" x14ac:dyDescent="0.4">
      <c r="A125" t="s">
        <v>298</v>
      </c>
      <c r="B125" t="str">
        <f>TRIM(_xlfn.XLOOKUP(A125,UNIDADES[UNIDADE],UNIDADES[POSICAO NASCENTE/POENTE]) &amp; " " &amp; _xlfn.XLOOKUP(A125,UNIDADES[UNIDADE],UNIDADES[POSICAO NORTE/SUL]) &amp; " " &amp; _xlfn.XLOOKUP(A125,UNIDADES[UNIDADE],UNIDADES[POSICAO INTERNO/EXTERNO]))</f>
        <v>POENTE NORTE EXTERNO</v>
      </c>
      <c r="C125" s="2">
        <f>_xlfn.XLOOKUP(A125,UNIDADES[UNIDADE],UNIDADES[AREA PADRAO])</f>
        <v>58.9135503202302</v>
      </c>
      <c r="D125" s="2">
        <f>_xlfn.XLOOKUP(A125,UNIDADES[UNIDADE],UNIDADES[AREA TERRACO])</f>
        <v>0</v>
      </c>
      <c r="E125" s="1">
        <f>_xlfn.XLOOKUP(A125,UNIDADES[UNIDADE],UNIDADES[AREA CALCULO DE PRECO])</f>
        <v>58.9135503202302</v>
      </c>
      <c r="F125" s="2">
        <f>F120*0.9</f>
        <v>115.28193877200002</v>
      </c>
      <c r="G125" s="8">
        <f t="shared" si="19"/>
        <v>4.6566868846645544E-3</v>
      </c>
      <c r="H125" s="9">
        <f t="shared" si="13"/>
        <v>764680.66532543639</v>
      </c>
      <c r="I125" s="3">
        <f t="shared" si="14"/>
        <v>76468.066532543642</v>
      </c>
      <c r="J125" s="3">
        <f t="shared" si="15"/>
        <v>3676.3493525261365</v>
      </c>
      <c r="K125" s="3">
        <f t="shared" si="16"/>
        <v>21848.019009298183</v>
      </c>
      <c r="L125" s="3">
        <f t="shared" si="17"/>
        <v>344106.29939644638</v>
      </c>
      <c r="M125" s="3" t="s">
        <v>386</v>
      </c>
      <c r="N125" s="5">
        <f t="shared" si="18"/>
        <v>12979.707744125792</v>
      </c>
    </row>
    <row r="126" spans="1:14" x14ac:dyDescent="0.4">
      <c r="A126" t="s">
        <v>346</v>
      </c>
      <c r="B126" t="str">
        <f>TRIM(_xlfn.XLOOKUP(A126,UNIDADES[UNIDADE],UNIDADES[POSICAO NASCENTE/POENTE]) &amp; " " &amp; _xlfn.XLOOKUP(A126,UNIDADES[UNIDADE],UNIDADES[POSICAO NORTE/SUL]) &amp; " " &amp; _xlfn.XLOOKUP(A126,UNIDADES[UNIDADE],UNIDADES[POSICAO INTERNO/EXTERNO]))</f>
        <v>NORTE EXTERNO</v>
      </c>
      <c r="C126" s="2">
        <f>_xlfn.XLOOKUP(A126,UNIDADES[UNIDADE],UNIDADES[AREA PADRAO])</f>
        <v>48.331200057960999</v>
      </c>
      <c r="D126" s="2">
        <f>_xlfn.XLOOKUP(A126,UNIDADES[UNIDADE],UNIDADES[AREA TERRACO])</f>
        <v>0</v>
      </c>
      <c r="E126" s="1">
        <f>_xlfn.XLOOKUP(A126,UNIDADES[UNIDADE],UNIDADES[AREA CALCULO DE PRECO])</f>
        <v>48.331200057960999</v>
      </c>
      <c r="F126" s="2">
        <f>F120*0.95</f>
        <v>121.68649092600002</v>
      </c>
      <c r="G126" s="8">
        <f t="shared" si="19"/>
        <v>4.0324641595150925E-3</v>
      </c>
      <c r="H126" s="9">
        <f t="shared" si="13"/>
        <v>662176.232323832</v>
      </c>
      <c r="I126" s="3">
        <f t="shared" si="14"/>
        <v>66217.623232383208</v>
      </c>
      <c r="J126" s="3">
        <f t="shared" si="15"/>
        <v>3183.5395784799616</v>
      </c>
      <c r="K126" s="3">
        <f t="shared" si="16"/>
        <v>18919.32092353806</v>
      </c>
      <c r="L126" s="3">
        <f t="shared" si="17"/>
        <v>297979.30454572442</v>
      </c>
      <c r="M126" s="3" t="s">
        <v>386</v>
      </c>
      <c r="N126" s="5">
        <f t="shared" si="18"/>
        <v>13700.802618799446</v>
      </c>
    </row>
    <row r="127" spans="1:14" x14ac:dyDescent="0.4">
      <c r="A127" t="s">
        <v>347</v>
      </c>
      <c r="B127" t="str">
        <f>TRIM(_xlfn.XLOOKUP(A127,UNIDADES[UNIDADE],UNIDADES[POSICAO NASCENTE/POENTE]) &amp; " " &amp; _xlfn.XLOOKUP(A127,UNIDADES[UNIDADE],UNIDADES[POSICAO NORTE/SUL]) &amp; " " &amp; _xlfn.XLOOKUP(A127,UNIDADES[UNIDADE],UNIDADES[POSICAO INTERNO/EXTERNO]))</f>
        <v>NORTE EXTERNO</v>
      </c>
      <c r="C127" s="2">
        <f>_xlfn.XLOOKUP(A127,UNIDADES[UNIDADE],UNIDADES[AREA PADRAO])</f>
        <v>49.052399941747503</v>
      </c>
      <c r="D127" s="2">
        <f>_xlfn.XLOOKUP(A127,UNIDADES[UNIDADE],UNIDADES[AREA TERRACO])</f>
        <v>0</v>
      </c>
      <c r="E127" s="1">
        <f>_xlfn.XLOOKUP(A127,UNIDADES[UNIDADE],UNIDADES[AREA CALCULO DE PRECO])</f>
        <v>49.052399941747503</v>
      </c>
      <c r="F127" s="2">
        <f>F120*0.95</f>
        <v>121.68649092600002</v>
      </c>
      <c r="G127" s="8">
        <f t="shared" si="19"/>
        <v>4.0926367329195985E-3</v>
      </c>
      <c r="H127" s="9">
        <f t="shared" si="13"/>
        <v>672057.24958029203</v>
      </c>
      <c r="I127" s="3">
        <f t="shared" si="14"/>
        <v>67205.724958029212</v>
      </c>
      <c r="J127" s="3">
        <f t="shared" si="15"/>
        <v>3231.0444691360194</v>
      </c>
      <c r="K127" s="3">
        <f t="shared" si="16"/>
        <v>19201.635702294061</v>
      </c>
      <c r="L127" s="3">
        <f t="shared" si="17"/>
        <v>302425.7623111314</v>
      </c>
      <c r="M127" s="3" t="s">
        <v>386</v>
      </c>
      <c r="N127" s="5">
        <f t="shared" si="18"/>
        <v>13700.802618799447</v>
      </c>
    </row>
    <row r="128" spans="1:14" x14ac:dyDescent="0.4">
      <c r="A128" t="s">
        <v>348</v>
      </c>
      <c r="B128" t="str">
        <f>TRIM(_xlfn.XLOOKUP(A128,UNIDADES[UNIDADE],UNIDADES[POSICAO NASCENTE/POENTE]) &amp; " " &amp; _xlfn.XLOOKUP(A128,UNIDADES[UNIDADE],UNIDADES[POSICAO NORTE/SUL]) &amp; " " &amp; _xlfn.XLOOKUP(A128,UNIDADES[UNIDADE],UNIDADES[POSICAO INTERNO/EXTERNO]))</f>
        <v>NORTE EXTERNO</v>
      </c>
      <c r="C128" s="2">
        <f>_xlfn.XLOOKUP(A128,UNIDADES[UNIDADE],UNIDADES[AREA PADRAO])</f>
        <v>57.580400001903698</v>
      </c>
      <c r="D128" s="2">
        <f>_xlfn.XLOOKUP(A128,UNIDADES[UNIDADE],UNIDADES[AREA TERRACO])</f>
        <v>0</v>
      </c>
      <c r="E128" s="1">
        <f>_xlfn.XLOOKUP(A128,UNIDADES[UNIDADE],UNIDADES[AREA CALCULO DE PRECO])</f>
        <v>57.580400001903698</v>
      </c>
      <c r="F128" s="2">
        <f>F120*0.9</f>
        <v>115.28193877200002</v>
      </c>
      <c r="G128" s="8">
        <f t="shared" si="19"/>
        <v>4.5513110658776564E-3</v>
      </c>
      <c r="H128" s="9">
        <f t="shared" si="13"/>
        <v>747376.76381457015</v>
      </c>
      <c r="I128" s="3">
        <f t="shared" si="14"/>
        <v>74737.676381457015</v>
      </c>
      <c r="J128" s="3">
        <f t="shared" si="15"/>
        <v>3593.1575183392797</v>
      </c>
      <c r="K128" s="3">
        <f t="shared" si="16"/>
        <v>21353.621823273432</v>
      </c>
      <c r="L128" s="3">
        <f t="shared" si="17"/>
        <v>336319.54371655657</v>
      </c>
      <c r="M128" s="3" t="s">
        <v>386</v>
      </c>
      <c r="N128" s="5">
        <f t="shared" si="18"/>
        <v>12979.707744125792</v>
      </c>
    </row>
    <row r="129" spans="1:14" x14ac:dyDescent="0.4">
      <c r="A129" t="s">
        <v>308</v>
      </c>
      <c r="B129" t="str">
        <f>TRIM(_xlfn.XLOOKUP(A129,UNIDADES[UNIDADE],UNIDADES[POSICAO NASCENTE/POENTE]) &amp; " " &amp; _xlfn.XLOOKUP(A129,UNIDADES[UNIDADE],UNIDADES[POSICAO NORTE/SUL]) &amp; " " &amp; _xlfn.XLOOKUP(A129,UNIDADES[UNIDADE],UNIDADES[POSICAO INTERNO/EXTERNO]))</f>
        <v>NASCENTE NORTE EXTERNO</v>
      </c>
      <c r="C129" s="2">
        <f>_xlfn.XLOOKUP(A129,UNIDADES[UNIDADE],UNIDADES[AREA PADRAO])</f>
        <v>107.76375755900401</v>
      </c>
      <c r="D129" s="2">
        <f>_xlfn.XLOOKUP(A129,UNIDADES[UNIDADE],UNIDADES[AREA TERRACO])</f>
        <v>0</v>
      </c>
      <c r="E129" s="1">
        <f>_xlfn.XLOOKUP(A129,UNIDADES[UNIDADE],UNIDADES[AREA CALCULO DE PRECO])</f>
        <v>107.76375755900401</v>
      </c>
      <c r="F129" s="2">
        <f>F120*1.015</f>
        <v>130.01240872620002</v>
      </c>
      <c r="G129" s="8">
        <f t="shared" si="19"/>
        <v>9.6063432463626853E-3</v>
      </c>
      <c r="H129" s="9">
        <f t="shared" si="13"/>
        <v>1577470.2330028543</v>
      </c>
      <c r="I129" s="3">
        <f t="shared" si="14"/>
        <v>157747.02330028545</v>
      </c>
      <c r="J129" s="3">
        <f t="shared" si="15"/>
        <v>7583.9915048214152</v>
      </c>
      <c r="K129" s="3">
        <f t="shared" si="16"/>
        <v>45070.578085795845</v>
      </c>
      <c r="L129" s="3">
        <f t="shared" si="17"/>
        <v>709861.60485128441</v>
      </c>
      <c r="M129" s="3" t="s">
        <v>386</v>
      </c>
      <c r="N129" s="5">
        <f t="shared" si="18"/>
        <v>14638.225955875196</v>
      </c>
    </row>
    <row r="130" spans="1:14" x14ac:dyDescent="0.4">
      <c r="A130" t="s">
        <v>294</v>
      </c>
      <c r="B130" t="str">
        <f>TRIM(_xlfn.XLOOKUP(A130,UNIDADES[UNIDADE],UNIDADES[POSICAO NASCENTE/POENTE]) &amp; " " &amp; _xlfn.XLOOKUP(A130,UNIDADES[UNIDADE],UNIDADES[POSICAO NORTE/SUL]) &amp; " " &amp; _xlfn.XLOOKUP(A130,UNIDADES[UNIDADE],UNIDADES[POSICAO INTERNO/EXTERNO]))</f>
        <v>NASCENTE SUL INTERNO</v>
      </c>
      <c r="C130" s="2">
        <f>_xlfn.XLOOKUP(A130,UNIDADES[UNIDADE],UNIDADES[AREA PADRAO])</f>
        <v>107.333257557005</v>
      </c>
      <c r="D130" s="2">
        <f>_xlfn.XLOOKUP(A130,UNIDADES[UNIDADE],UNIDADES[AREA TERRACO])</f>
        <v>0</v>
      </c>
      <c r="E130" s="1">
        <f>_xlfn.XLOOKUP(A130,UNIDADES[UNIDADE],UNIDADES[AREA CALCULO DE PRECO])</f>
        <v>107.333257557005</v>
      </c>
      <c r="F130" s="2">
        <f>F121*1.015</f>
        <v>136.51302916250998</v>
      </c>
      <c r="G130" s="8">
        <f t="shared" ref="G130:G161" si="20">F130*E130/SUMPRODUCT(F:F,E:E)</f>
        <v>1.0046365717548477E-2</v>
      </c>
      <c r="H130" s="9">
        <f t="shared" si="13"/>
        <v>1649726.9005345672</v>
      </c>
      <c r="I130" s="3">
        <f t="shared" si="14"/>
        <v>164972.69005345672</v>
      </c>
      <c r="J130" s="3">
        <f t="shared" si="15"/>
        <v>7931.3793294931111</v>
      </c>
      <c r="K130" s="3">
        <f t="shared" si="16"/>
        <v>47135.054300987635</v>
      </c>
      <c r="L130" s="3">
        <f t="shared" si="17"/>
        <v>742377.10524055525</v>
      </c>
      <c r="M130" s="3" t="s">
        <v>386</v>
      </c>
      <c r="N130" s="5">
        <f t="shared" si="18"/>
        <v>15370.137253668952</v>
      </c>
    </row>
    <row r="131" spans="1:14" x14ac:dyDescent="0.4">
      <c r="A131" t="s">
        <v>291</v>
      </c>
      <c r="B131" t="str">
        <f>TRIM(_xlfn.XLOOKUP(A131,UNIDADES[UNIDADE],UNIDADES[POSICAO NASCENTE/POENTE]) &amp; " " &amp; _xlfn.XLOOKUP(A131,UNIDADES[UNIDADE],UNIDADES[POSICAO NORTE/SUL]) &amp; " " &amp; _xlfn.XLOOKUP(A131,UNIDADES[UNIDADE],UNIDADES[POSICAO INTERNO/EXTERNO]))</f>
        <v>SUL INTERNO</v>
      </c>
      <c r="C131" s="2">
        <f>_xlfn.XLOOKUP(A131,UNIDADES[UNIDADE],UNIDADES[AREA PADRAO])</f>
        <v>75.988299987721106</v>
      </c>
      <c r="D131" s="2">
        <f>_xlfn.XLOOKUP(A131,UNIDADES[UNIDADE],UNIDADES[AREA TERRACO])</f>
        <v>0</v>
      </c>
      <c r="E131" s="1">
        <f>_xlfn.XLOOKUP(A131,UNIDADES[UNIDADE],UNIDADES[AREA CALCULO DE PRECO])</f>
        <v>75.988299987721106</v>
      </c>
      <c r="F131" s="2">
        <f>F130*0.95</f>
        <v>129.68737770438449</v>
      </c>
      <c r="G131" s="8">
        <f t="shared" si="20"/>
        <v>6.7568613479348123E-3</v>
      </c>
      <c r="H131" s="9">
        <f t="shared" ref="H131:H164" si="21">G131*$P$1</f>
        <v>1109553.070460032</v>
      </c>
      <c r="I131" s="3">
        <f t="shared" ref="I131:I164" si="22">H131*0.1</f>
        <v>110955.3070460032</v>
      </c>
      <c r="J131" s="3">
        <f t="shared" ref="J131:J164" si="23">H131*0.25/52</f>
        <v>5334.3897618270767</v>
      </c>
      <c r="K131" s="3">
        <f t="shared" ref="K131:K164" si="24">H131*0.2/7</f>
        <v>31701.51629885806</v>
      </c>
      <c r="L131" s="3">
        <f t="shared" ref="L131:L164" si="25">H131*0.45</f>
        <v>499298.8817070144</v>
      </c>
      <c r="M131" s="3" t="s">
        <v>386</v>
      </c>
      <c r="N131" s="5">
        <f t="shared" si="18"/>
        <v>14601.630390985505</v>
      </c>
    </row>
    <row r="132" spans="1:14" x14ac:dyDescent="0.4">
      <c r="A132" t="s">
        <v>325</v>
      </c>
      <c r="B132" t="str">
        <f>TRIM(_xlfn.XLOOKUP(A132,UNIDADES[UNIDADE],UNIDADES[POSICAO NASCENTE/POENTE]) &amp; " " &amp; _xlfn.XLOOKUP(A132,UNIDADES[UNIDADE],UNIDADES[POSICAO NORTE/SUL]) &amp; " " &amp; _xlfn.XLOOKUP(A132,UNIDADES[UNIDADE],UNIDADES[POSICAO INTERNO/EXTERNO]))</f>
        <v>SUL INTERNO</v>
      </c>
      <c r="C132" s="2">
        <f>_xlfn.XLOOKUP(A132,UNIDADES[UNIDADE],UNIDADES[AREA PADRAO])</f>
        <v>54.312999998096998</v>
      </c>
      <c r="D132" s="2">
        <f>_xlfn.XLOOKUP(A132,UNIDADES[UNIDADE],UNIDADES[AREA TERRACO])</f>
        <v>0</v>
      </c>
      <c r="E132" s="1">
        <f>_xlfn.XLOOKUP(A132,UNIDADES[UNIDADE],UNIDADES[AREA CALCULO DE PRECO])</f>
        <v>54.312999998096998</v>
      </c>
      <c r="F132" s="2">
        <f>F130*0.95</f>
        <v>129.68737770438449</v>
      </c>
      <c r="G132" s="8">
        <f t="shared" si="20"/>
        <v>4.8294988891293272E-3</v>
      </c>
      <c r="H132" s="9">
        <f t="shared" si="21"/>
        <v>793058.35139780887</v>
      </c>
      <c r="I132" s="3">
        <f t="shared" si="22"/>
        <v>79305.835139780887</v>
      </c>
      <c r="J132" s="3">
        <f t="shared" si="23"/>
        <v>3812.7805355663886</v>
      </c>
      <c r="K132" s="3">
        <f t="shared" si="24"/>
        <v>22658.810039937398</v>
      </c>
      <c r="L132" s="3">
        <f t="shared" si="25"/>
        <v>356876.25812901399</v>
      </c>
      <c r="M132" s="3" t="s">
        <v>386</v>
      </c>
      <c r="N132" s="5">
        <f t="shared" si="18"/>
        <v>14601.630390985507</v>
      </c>
    </row>
    <row r="133" spans="1:14" x14ac:dyDescent="0.4">
      <c r="A133" t="s">
        <v>310</v>
      </c>
      <c r="B133" t="str">
        <f>TRIM(_xlfn.XLOOKUP(A133,UNIDADES[UNIDADE],UNIDADES[POSICAO NASCENTE/POENTE]) &amp; " " &amp; _xlfn.XLOOKUP(A133,UNIDADES[UNIDADE],UNIDADES[POSICAO NORTE/SUL]) &amp; " " &amp; _xlfn.XLOOKUP(A133,UNIDADES[UNIDADE],UNIDADES[POSICAO INTERNO/EXTERNO]))</f>
        <v>POENTE SUL INTERNO</v>
      </c>
      <c r="C133" s="2">
        <f>_xlfn.XLOOKUP(A133,UNIDADES[UNIDADE],UNIDADES[AREA PADRAO])</f>
        <v>59.500987689683299</v>
      </c>
      <c r="D133" s="2">
        <f>_xlfn.XLOOKUP(A133,UNIDADES[UNIDADE],UNIDADES[AREA TERRACO])</f>
        <v>0</v>
      </c>
      <c r="E133" s="1">
        <f>_xlfn.XLOOKUP(A133,UNIDADES[UNIDADE],UNIDADES[AREA CALCULO DE PRECO])</f>
        <v>59.500987689683299</v>
      </c>
      <c r="F133" s="2">
        <f>F130*0.95</f>
        <v>129.68737770438449</v>
      </c>
      <c r="G133" s="8">
        <f t="shared" si="20"/>
        <v>5.2908135061493873E-3</v>
      </c>
      <c r="H133" s="9">
        <f t="shared" si="21"/>
        <v>868811.43014333409</v>
      </c>
      <c r="I133" s="3">
        <f t="shared" si="22"/>
        <v>86881.143014333415</v>
      </c>
      <c r="J133" s="3">
        <f t="shared" si="23"/>
        <v>4176.9780295352602</v>
      </c>
      <c r="K133" s="3">
        <f t="shared" si="24"/>
        <v>24823.183718380977</v>
      </c>
      <c r="L133" s="3">
        <f t="shared" si="25"/>
        <v>390965.14356450032</v>
      </c>
      <c r="M133" s="3" t="s">
        <v>386</v>
      </c>
      <c r="N133" s="5">
        <f t="shared" si="18"/>
        <v>14601.630390985505</v>
      </c>
    </row>
    <row r="134" spans="1:14" x14ac:dyDescent="0.4">
      <c r="A134" t="s">
        <v>304</v>
      </c>
      <c r="B134" t="str">
        <f>TRIM(_xlfn.XLOOKUP(A134,UNIDADES[UNIDADE],UNIDADES[POSICAO NASCENTE/POENTE]) &amp; " " &amp; _xlfn.XLOOKUP(A134,UNIDADES[UNIDADE],UNIDADES[POSICAO NORTE/SUL]) &amp; " " &amp; _xlfn.XLOOKUP(A134,UNIDADES[UNIDADE],UNIDADES[POSICAO INTERNO/EXTERNO]))</f>
        <v>POENTE NORTE EXTERNO</v>
      </c>
      <c r="C134" s="2">
        <f>_xlfn.XLOOKUP(A134,UNIDADES[UNIDADE],UNIDADES[AREA PADRAO])</f>
        <v>58.913550312519497</v>
      </c>
      <c r="D134" s="2">
        <f>_xlfn.XLOOKUP(A134,UNIDADES[UNIDADE],UNIDADES[AREA TERRACO])</f>
        <v>0</v>
      </c>
      <c r="E134" s="1">
        <f>_xlfn.XLOOKUP(A134,UNIDADES[UNIDADE],UNIDADES[AREA CALCULO DE PRECO])</f>
        <v>58.913550312519497</v>
      </c>
      <c r="F134" s="2">
        <f>F129*0.9</f>
        <v>117.01116785358002</v>
      </c>
      <c r="G134" s="8">
        <f t="shared" si="20"/>
        <v>4.7265371873159052E-3</v>
      </c>
      <c r="H134" s="9">
        <f t="shared" si="21"/>
        <v>776150.87520373391</v>
      </c>
      <c r="I134" s="3">
        <f t="shared" si="22"/>
        <v>77615.087520373389</v>
      </c>
      <c r="J134" s="3">
        <f t="shared" si="23"/>
        <v>3731.4945923256437</v>
      </c>
      <c r="K134" s="3">
        <f t="shared" si="24"/>
        <v>22175.739291535254</v>
      </c>
      <c r="L134" s="3">
        <f t="shared" si="25"/>
        <v>349267.89384168026</v>
      </c>
      <c r="M134" s="3" t="s">
        <v>386</v>
      </c>
      <c r="N134" s="5">
        <f t="shared" si="18"/>
        <v>13174.403360287675</v>
      </c>
    </row>
    <row r="135" spans="1:14" x14ac:dyDescent="0.4">
      <c r="A135" t="s">
        <v>349</v>
      </c>
      <c r="B135" t="str">
        <f>TRIM(_xlfn.XLOOKUP(A135,UNIDADES[UNIDADE],UNIDADES[POSICAO NASCENTE/POENTE]) &amp; " " &amp; _xlfn.XLOOKUP(A135,UNIDADES[UNIDADE],UNIDADES[POSICAO NORTE/SUL]) &amp; " " &amp; _xlfn.XLOOKUP(A135,UNIDADES[UNIDADE],UNIDADES[POSICAO INTERNO/EXTERNO]))</f>
        <v>NORTE EXTERNO</v>
      </c>
      <c r="C135" s="2">
        <f>_xlfn.XLOOKUP(A135,UNIDADES[UNIDADE],UNIDADES[AREA PADRAO])</f>
        <v>48.827200057960503</v>
      </c>
      <c r="D135" s="2">
        <f>_xlfn.XLOOKUP(A135,UNIDADES[UNIDADE],UNIDADES[AREA TERRACO])</f>
        <v>0</v>
      </c>
      <c r="E135" s="1">
        <f>_xlfn.XLOOKUP(A135,UNIDADES[UNIDADE],UNIDADES[AREA CALCULO DE PRECO])</f>
        <v>48.827200057960503</v>
      </c>
      <c r="F135" s="2">
        <f>F129*0.95</f>
        <v>123.51178828989002</v>
      </c>
      <c r="G135" s="8">
        <f t="shared" si="20"/>
        <v>4.1349551225125973E-3</v>
      </c>
      <c r="H135" s="9">
        <f t="shared" si="21"/>
        <v>679006.4078790911</v>
      </c>
      <c r="I135" s="3">
        <f t="shared" si="22"/>
        <v>67900.640787909113</v>
      </c>
      <c r="J135" s="3">
        <f t="shared" si="23"/>
        <v>3264.453884034092</v>
      </c>
      <c r="K135" s="3">
        <f t="shared" si="24"/>
        <v>19400.183082259748</v>
      </c>
      <c r="L135" s="3">
        <f t="shared" si="25"/>
        <v>305552.88354559103</v>
      </c>
      <c r="M135" s="3" t="s">
        <v>386</v>
      </c>
      <c r="N135" s="5">
        <f t="shared" si="18"/>
        <v>13906.314658081441</v>
      </c>
    </row>
    <row r="136" spans="1:14" x14ac:dyDescent="0.4">
      <c r="A136" t="s">
        <v>350</v>
      </c>
      <c r="B136" t="str">
        <f>TRIM(_xlfn.XLOOKUP(A136,UNIDADES[UNIDADE],UNIDADES[POSICAO NASCENTE/POENTE]) &amp; " " &amp; _xlfn.XLOOKUP(A136,UNIDADES[UNIDADE],UNIDADES[POSICAO NORTE/SUL]) &amp; " " &amp; _xlfn.XLOOKUP(A136,UNIDADES[UNIDADE],UNIDADES[POSICAO INTERNO/EXTERNO]))</f>
        <v>NORTE EXTERNO</v>
      </c>
      <c r="C136" s="2">
        <f>_xlfn.XLOOKUP(A136,UNIDADES[UNIDADE],UNIDADES[AREA PADRAO])</f>
        <v>48.566399941747498</v>
      </c>
      <c r="D136" s="2">
        <f>_xlfn.XLOOKUP(A136,UNIDADES[UNIDADE],UNIDADES[AREA TERRACO])</f>
        <v>0</v>
      </c>
      <c r="E136" s="1">
        <f>_xlfn.XLOOKUP(A136,UNIDADES[UNIDADE],UNIDADES[AREA CALCULO DE PRECO])</f>
        <v>48.566399941747498</v>
      </c>
      <c r="F136" s="2">
        <f>F129*0.95</f>
        <v>123.51178828989002</v>
      </c>
      <c r="G136" s="8">
        <f t="shared" si="20"/>
        <v>4.1128691381594751E-3</v>
      </c>
      <c r="H136" s="9">
        <f t="shared" si="21"/>
        <v>675379.63940016867</v>
      </c>
      <c r="I136" s="3">
        <f t="shared" si="22"/>
        <v>67537.963940016867</v>
      </c>
      <c r="J136" s="3">
        <f t="shared" si="23"/>
        <v>3247.0174971161955</v>
      </c>
      <c r="K136" s="3">
        <f t="shared" si="24"/>
        <v>19296.561125719105</v>
      </c>
      <c r="L136" s="3">
        <f t="shared" si="25"/>
        <v>303920.83773007593</v>
      </c>
      <c r="M136" s="3" t="s">
        <v>386</v>
      </c>
      <c r="N136" s="5">
        <f t="shared" si="18"/>
        <v>13906.314658081437</v>
      </c>
    </row>
    <row r="137" spans="1:14" x14ac:dyDescent="0.4">
      <c r="A137" t="s">
        <v>351</v>
      </c>
      <c r="B137" t="str">
        <f>TRIM(_xlfn.XLOOKUP(A137,UNIDADES[UNIDADE],UNIDADES[POSICAO NASCENTE/POENTE]) &amp; " " &amp; _xlfn.XLOOKUP(A137,UNIDADES[UNIDADE],UNIDADES[POSICAO NORTE/SUL]) &amp; " " &amp; _xlfn.XLOOKUP(A137,UNIDADES[UNIDADE],UNIDADES[POSICAO INTERNO/EXTERNO]))</f>
        <v>NORTE EXTERNO</v>
      </c>
      <c r="C137" s="2">
        <f>_xlfn.XLOOKUP(A137,UNIDADES[UNIDADE],UNIDADES[AREA PADRAO])</f>
        <v>56.968400000000202</v>
      </c>
      <c r="D137" s="2">
        <f>_xlfn.XLOOKUP(A137,UNIDADES[UNIDADE],UNIDADES[AREA TERRACO])</f>
        <v>0</v>
      </c>
      <c r="E137" s="1">
        <f>_xlfn.XLOOKUP(A137,UNIDADES[UNIDADE],UNIDADES[AREA CALCULO DE PRECO])</f>
        <v>56.968400000000202</v>
      </c>
      <c r="F137" s="2">
        <f>F129*0.9</f>
        <v>117.01116785358002</v>
      </c>
      <c r="G137" s="8">
        <f t="shared" si="20"/>
        <v>4.5704809788838724E-3</v>
      </c>
      <c r="H137" s="9">
        <f t="shared" si="21"/>
        <v>750524.68039021513</v>
      </c>
      <c r="I137" s="3">
        <f t="shared" si="22"/>
        <v>75052.468039021522</v>
      </c>
      <c r="J137" s="3">
        <f t="shared" si="23"/>
        <v>3608.2917326452653</v>
      </c>
      <c r="K137" s="3">
        <f t="shared" si="24"/>
        <v>21443.562296863292</v>
      </c>
      <c r="L137" s="3">
        <f t="shared" si="25"/>
        <v>337736.10617559683</v>
      </c>
      <c r="M137" s="3" t="s">
        <v>386</v>
      </c>
      <c r="N137" s="5">
        <f t="shared" si="18"/>
        <v>13174.403360287677</v>
      </c>
    </row>
    <row r="138" spans="1:14" x14ac:dyDescent="0.4">
      <c r="A138" t="s">
        <v>307</v>
      </c>
      <c r="B138" t="str">
        <f>TRIM(_xlfn.XLOOKUP(A138,UNIDADES[UNIDADE],UNIDADES[POSICAO NASCENTE/POENTE]) &amp; " " &amp; _xlfn.XLOOKUP(A138,UNIDADES[UNIDADE],UNIDADES[POSICAO NORTE/SUL]) &amp; " " &amp; _xlfn.XLOOKUP(A138,UNIDADES[UNIDADE],UNIDADES[POSICAO INTERNO/EXTERNO]))</f>
        <v>NASCENTE NORTE EXTERNO</v>
      </c>
      <c r="C138" s="2">
        <f>_xlfn.XLOOKUP(A138,UNIDADES[UNIDADE],UNIDADES[AREA PADRAO])</f>
        <v>106.93295755635</v>
      </c>
      <c r="D138" s="2">
        <f>_xlfn.XLOOKUP(A138,UNIDADES[UNIDADE],UNIDADES[AREA TERRACO])</f>
        <v>0</v>
      </c>
      <c r="E138" s="1">
        <f>_xlfn.XLOOKUP(A138,UNIDADES[UNIDADE],UNIDADES[AREA CALCULO DE PRECO])</f>
        <v>106.93295755635</v>
      </c>
      <c r="F138" s="2">
        <f>F129*1.01</f>
        <v>131.31253281346201</v>
      </c>
      <c r="G138" s="8">
        <f t="shared" si="20"/>
        <v>9.6276063964576726E-3</v>
      </c>
      <c r="H138" s="9">
        <f t="shared" si="21"/>
        <v>1580961.8827882621</v>
      </c>
      <c r="I138" s="3">
        <f t="shared" si="22"/>
        <v>158096.18827882622</v>
      </c>
      <c r="J138" s="3">
        <f t="shared" si="23"/>
        <v>7600.7782826358753</v>
      </c>
      <c r="K138" s="3">
        <f t="shared" si="24"/>
        <v>45170.339508236058</v>
      </c>
      <c r="L138" s="3">
        <f t="shared" si="25"/>
        <v>711432.84725471796</v>
      </c>
      <c r="M138" s="3" t="s">
        <v>386</v>
      </c>
      <c r="N138" s="5">
        <f t="shared" ref="N138:N164" si="26">H138/E138</f>
        <v>14784.608215433949</v>
      </c>
    </row>
    <row r="139" spans="1:14" x14ac:dyDescent="0.4">
      <c r="A139" t="s">
        <v>295</v>
      </c>
      <c r="B139" t="str">
        <f>TRIM(_xlfn.XLOOKUP(A139,UNIDADES[UNIDADE],UNIDADES[POSICAO NASCENTE/POENTE]) &amp; " " &amp; _xlfn.XLOOKUP(A139,UNIDADES[UNIDADE],UNIDADES[POSICAO NORTE/SUL]) &amp; " " &amp; _xlfn.XLOOKUP(A139,UNIDADES[UNIDADE],UNIDADES[POSICAO INTERNO/EXTERNO]))</f>
        <v>NASCENTE SUL INTERNO</v>
      </c>
      <c r="C139" s="2">
        <f>_xlfn.XLOOKUP(A139,UNIDADES[UNIDADE],UNIDADES[AREA PADRAO])</f>
        <v>107.136657558349</v>
      </c>
      <c r="D139" s="2">
        <f>_xlfn.XLOOKUP(A139,UNIDADES[UNIDADE],UNIDADES[AREA TERRACO])</f>
        <v>0</v>
      </c>
      <c r="E139" s="1">
        <f>_xlfn.XLOOKUP(A139,UNIDADES[UNIDADE],UNIDADES[AREA CALCULO DE PRECO])</f>
        <v>107.136657558349</v>
      </c>
      <c r="F139" s="2">
        <f>F130*1.01</f>
        <v>137.87815945413507</v>
      </c>
      <c r="G139" s="8">
        <f t="shared" si="20"/>
        <v>1.012824364755199E-2</v>
      </c>
      <c r="H139" s="9">
        <f t="shared" si="21"/>
        <v>1663172.1828868645</v>
      </c>
      <c r="I139" s="3">
        <f t="shared" si="22"/>
        <v>166317.21828868648</v>
      </c>
      <c r="J139" s="3">
        <f t="shared" si="23"/>
        <v>7996.0201100330023</v>
      </c>
      <c r="K139" s="3">
        <f t="shared" si="24"/>
        <v>47519.205225338992</v>
      </c>
      <c r="L139" s="3">
        <f t="shared" si="25"/>
        <v>748427.48229908908</v>
      </c>
      <c r="M139" s="3" t="s">
        <v>386</v>
      </c>
      <c r="N139" s="5">
        <f t="shared" si="26"/>
        <v>15523.838626205639</v>
      </c>
    </row>
    <row r="140" spans="1:14" x14ac:dyDescent="0.4">
      <c r="A140" t="s">
        <v>290</v>
      </c>
      <c r="B140" t="str">
        <f>TRIM(_xlfn.XLOOKUP(A140,UNIDADES[UNIDADE],UNIDADES[POSICAO NASCENTE/POENTE]) &amp; " " &amp; _xlfn.XLOOKUP(A140,UNIDADES[UNIDADE],UNIDADES[POSICAO NORTE/SUL]) &amp; " " &amp; _xlfn.XLOOKUP(A140,UNIDADES[UNIDADE],UNIDADES[POSICAO INTERNO/EXTERNO]))</f>
        <v>SUL INTERNO</v>
      </c>
      <c r="C140" s="2">
        <f>_xlfn.XLOOKUP(A140,UNIDADES[UNIDADE],UNIDADES[AREA PADRAO])</f>
        <v>75.256824991647093</v>
      </c>
      <c r="D140" s="2">
        <f>_xlfn.XLOOKUP(A140,UNIDADES[UNIDADE],UNIDADES[AREA TERRACO])</f>
        <v>0</v>
      </c>
      <c r="E140" s="1">
        <f>_xlfn.XLOOKUP(A140,UNIDADES[UNIDADE],UNIDADES[AREA CALCULO DE PRECO])</f>
        <v>75.256824991647093</v>
      </c>
      <c r="F140" s="2">
        <f>F139*0.95</f>
        <v>130.98425148142832</v>
      </c>
      <c r="G140" s="8">
        <f t="shared" si="20"/>
        <v>6.7587369549902843E-3</v>
      </c>
      <c r="H140" s="9">
        <f t="shared" si="21"/>
        <v>1109861.0663563828</v>
      </c>
      <c r="I140" s="3">
        <f t="shared" si="22"/>
        <v>110986.10663563828</v>
      </c>
      <c r="J140" s="3">
        <f t="shared" si="23"/>
        <v>5335.8705113287633</v>
      </c>
      <c r="K140" s="3">
        <f t="shared" si="24"/>
        <v>31710.316181610939</v>
      </c>
      <c r="L140" s="3">
        <f t="shared" si="25"/>
        <v>499437.47986037226</v>
      </c>
      <c r="M140" s="3" t="s">
        <v>386</v>
      </c>
      <c r="N140" s="5">
        <f t="shared" si="26"/>
        <v>14747.64669489536</v>
      </c>
    </row>
    <row r="141" spans="1:14" x14ac:dyDescent="0.4">
      <c r="A141" t="s">
        <v>324</v>
      </c>
      <c r="B141" t="str">
        <f>TRIM(_xlfn.XLOOKUP(A141,UNIDADES[UNIDADE],UNIDADES[POSICAO NASCENTE/POENTE]) &amp; " " &amp; _xlfn.XLOOKUP(A141,UNIDADES[UNIDADE],UNIDADES[POSICAO NORTE/SUL]) &amp; " " &amp; _xlfn.XLOOKUP(A141,UNIDADES[UNIDADE],UNIDADES[POSICAO INTERNO/EXTERNO]))</f>
        <v>SUL INTERNO</v>
      </c>
      <c r="C141" s="2">
        <f>_xlfn.XLOOKUP(A141,UNIDADES[UNIDADE],UNIDADES[AREA PADRAO])</f>
        <v>54.336053357361202</v>
      </c>
      <c r="D141" s="2">
        <f>_xlfn.XLOOKUP(A141,UNIDADES[UNIDADE],UNIDADES[AREA TERRACO])</f>
        <v>0</v>
      </c>
      <c r="E141" s="1">
        <f>_xlfn.XLOOKUP(A141,UNIDADES[UNIDADE],UNIDADES[AREA CALCULO DE PRECO])</f>
        <v>54.336053357361202</v>
      </c>
      <c r="F141" s="2">
        <f>F139*0.95</f>
        <v>130.98425148142832</v>
      </c>
      <c r="G141" s="8">
        <f t="shared" si="20"/>
        <v>4.8798642761700628E-3</v>
      </c>
      <c r="H141" s="9">
        <f t="shared" si="21"/>
        <v>801328.91770934581</v>
      </c>
      <c r="I141" s="3">
        <f t="shared" si="22"/>
        <v>80132.891770934584</v>
      </c>
      <c r="J141" s="3">
        <f t="shared" si="23"/>
        <v>3852.5428736026242</v>
      </c>
      <c r="K141" s="3">
        <f t="shared" si="24"/>
        <v>22895.111934552737</v>
      </c>
      <c r="L141" s="3">
        <f t="shared" si="25"/>
        <v>360598.01296920562</v>
      </c>
      <c r="M141" s="3" t="s">
        <v>386</v>
      </c>
      <c r="N141" s="5">
        <f t="shared" si="26"/>
        <v>14747.646694895358</v>
      </c>
    </row>
    <row r="142" spans="1:14" x14ac:dyDescent="0.4">
      <c r="A142" t="s">
        <v>311</v>
      </c>
      <c r="B142" t="str">
        <f>TRIM(_xlfn.XLOOKUP(A142,UNIDADES[UNIDADE],UNIDADES[POSICAO NASCENTE/POENTE]) &amp; " " &amp; _xlfn.XLOOKUP(A142,UNIDADES[UNIDADE],UNIDADES[POSICAO NORTE/SUL]) &amp; " " &amp; _xlfn.XLOOKUP(A142,UNIDADES[UNIDADE],UNIDADES[POSICAO INTERNO/EXTERNO]))</f>
        <v>POENTE SUL INTERNO</v>
      </c>
      <c r="C142" s="2">
        <f>_xlfn.XLOOKUP(A142,UNIDADES[UNIDADE],UNIDADES[AREA PADRAO])</f>
        <v>59.501049999999999</v>
      </c>
      <c r="D142" s="2">
        <f>_xlfn.XLOOKUP(A142,UNIDADES[UNIDADE],UNIDADES[AREA TERRACO])</f>
        <v>0</v>
      </c>
      <c r="E142" s="1">
        <f>_xlfn.XLOOKUP(A142,UNIDADES[UNIDADE],UNIDADES[AREA CALCULO DE PRECO])</f>
        <v>59.501049999999999</v>
      </c>
      <c r="F142" s="2">
        <f>F139*0.95</f>
        <v>130.98425148142832</v>
      </c>
      <c r="G142" s="8">
        <f t="shared" si="20"/>
        <v>5.3437272372354305E-3</v>
      </c>
      <c r="H142" s="9">
        <f t="shared" si="21"/>
        <v>877500.46337530355</v>
      </c>
      <c r="I142" s="3">
        <f t="shared" si="22"/>
        <v>87750.046337530366</v>
      </c>
      <c r="J142" s="3">
        <f t="shared" si="23"/>
        <v>4218.7522277658827</v>
      </c>
      <c r="K142" s="3">
        <f t="shared" si="24"/>
        <v>25071.441810722961</v>
      </c>
      <c r="L142" s="3">
        <f t="shared" si="25"/>
        <v>394875.20851888659</v>
      </c>
      <c r="M142" s="3" t="s">
        <v>386</v>
      </c>
      <c r="N142" s="5">
        <f t="shared" si="26"/>
        <v>14747.64669489536</v>
      </c>
    </row>
    <row r="143" spans="1:14" x14ac:dyDescent="0.4">
      <c r="A143" t="s">
        <v>303</v>
      </c>
      <c r="B143" t="str">
        <f>TRIM(_xlfn.XLOOKUP(A143,UNIDADES[UNIDADE],UNIDADES[POSICAO NASCENTE/POENTE]) &amp; " " &amp; _xlfn.XLOOKUP(A143,UNIDADES[UNIDADE],UNIDADES[POSICAO NORTE/SUL]) &amp; " " &amp; _xlfn.XLOOKUP(A143,UNIDADES[UNIDADE],UNIDADES[POSICAO INTERNO/EXTERNO]))</f>
        <v>POENTE NORTE EXTERNO</v>
      </c>
      <c r="C143" s="2">
        <f>_xlfn.XLOOKUP(A143,UNIDADES[UNIDADE],UNIDADES[AREA PADRAO])</f>
        <v>58.9135503202302</v>
      </c>
      <c r="D143" s="2">
        <f>_xlfn.XLOOKUP(A143,UNIDADES[UNIDADE],UNIDADES[AREA TERRACO])</f>
        <v>0</v>
      </c>
      <c r="E143" s="1">
        <f>_xlfn.XLOOKUP(A143,UNIDADES[UNIDADE],UNIDADES[AREA CALCULO DE PRECO])</f>
        <v>58.9135503202302</v>
      </c>
      <c r="F143" s="2">
        <f>F138*0.9</f>
        <v>118.18127953211581</v>
      </c>
      <c r="G143" s="8">
        <f t="shared" si="20"/>
        <v>4.7738025598138677E-3</v>
      </c>
      <c r="H143" s="9">
        <f t="shared" si="21"/>
        <v>783912.38405837107</v>
      </c>
      <c r="I143" s="3">
        <f t="shared" si="22"/>
        <v>78391.23840583711</v>
      </c>
      <c r="J143" s="3">
        <f t="shared" si="23"/>
        <v>3768.8095387421686</v>
      </c>
      <c r="K143" s="3">
        <f t="shared" si="24"/>
        <v>22397.49668738203</v>
      </c>
      <c r="L143" s="3">
        <f t="shared" si="25"/>
        <v>352760.57282626699</v>
      </c>
      <c r="M143" s="3" t="s">
        <v>386</v>
      </c>
      <c r="N143" s="5">
        <f t="shared" si="26"/>
        <v>13306.147393890553</v>
      </c>
    </row>
    <row r="144" spans="1:14" x14ac:dyDescent="0.4">
      <c r="A144" t="s">
        <v>352</v>
      </c>
      <c r="B144" t="str">
        <f>TRIM(_xlfn.XLOOKUP(A144,UNIDADES[UNIDADE],UNIDADES[POSICAO NASCENTE/POENTE]) &amp; " " &amp; _xlfn.XLOOKUP(A144,UNIDADES[UNIDADE],UNIDADES[POSICAO NORTE/SUL]) &amp; " " &amp; _xlfn.XLOOKUP(A144,UNIDADES[UNIDADE],UNIDADES[POSICAO INTERNO/EXTERNO]))</f>
        <v>NORTE EXTERNO</v>
      </c>
      <c r="C144" s="2">
        <f>_xlfn.XLOOKUP(A144,UNIDADES[UNIDADE],UNIDADES[AREA PADRAO])</f>
        <v>48.331200057960999</v>
      </c>
      <c r="D144" s="2">
        <f>_xlfn.XLOOKUP(A144,UNIDADES[UNIDADE],UNIDADES[AREA TERRACO])</f>
        <v>0</v>
      </c>
      <c r="E144" s="1">
        <f>_xlfn.XLOOKUP(A144,UNIDADES[UNIDADE],UNIDADES[AREA CALCULO DE PRECO])</f>
        <v>48.331200057960999</v>
      </c>
      <c r="F144" s="2">
        <f>F138*0.95</f>
        <v>124.74690617278891</v>
      </c>
      <c r="G144" s="8">
        <f t="shared" si="20"/>
        <v>4.1338806331268959E-3</v>
      </c>
      <c r="H144" s="9">
        <f t="shared" si="21"/>
        <v>678829.96456677618</v>
      </c>
      <c r="I144" s="3">
        <f t="shared" si="22"/>
        <v>67882.996456677618</v>
      </c>
      <c r="J144" s="3">
        <f t="shared" si="23"/>
        <v>3263.6055988787316</v>
      </c>
      <c r="K144" s="3">
        <f t="shared" si="24"/>
        <v>19395.141844765032</v>
      </c>
      <c r="L144" s="3">
        <f t="shared" si="25"/>
        <v>305473.48405504931</v>
      </c>
      <c r="M144" s="3" t="s">
        <v>386</v>
      </c>
      <c r="N144" s="5">
        <f t="shared" si="26"/>
        <v>14045.377804662248</v>
      </c>
    </row>
    <row r="145" spans="1:14" x14ac:dyDescent="0.4">
      <c r="A145" t="s">
        <v>353</v>
      </c>
      <c r="B145" t="str">
        <f>TRIM(_xlfn.XLOOKUP(A145,UNIDADES[UNIDADE],UNIDADES[POSICAO NASCENTE/POENTE]) &amp; " " &amp; _xlfn.XLOOKUP(A145,UNIDADES[UNIDADE],UNIDADES[POSICAO NORTE/SUL]) &amp; " " &amp; _xlfn.XLOOKUP(A145,UNIDADES[UNIDADE],UNIDADES[POSICAO INTERNO/EXTERNO]))</f>
        <v>NORTE EXTERNO</v>
      </c>
      <c r="C145" s="2">
        <f>_xlfn.XLOOKUP(A145,UNIDADES[UNIDADE],UNIDADES[AREA PADRAO])</f>
        <v>49.052399941747503</v>
      </c>
      <c r="D145" s="2">
        <f>_xlfn.XLOOKUP(A145,UNIDADES[UNIDADE],UNIDADES[AREA TERRACO])</f>
        <v>0</v>
      </c>
      <c r="E145" s="1">
        <f>_xlfn.XLOOKUP(A145,UNIDADES[UNIDADE],UNIDADES[AREA CALCULO DE PRECO])</f>
        <v>49.052399941747503</v>
      </c>
      <c r="F145" s="2">
        <f>F138*0.95</f>
        <v>124.74690617278891</v>
      </c>
      <c r="G145" s="8">
        <f t="shared" si="20"/>
        <v>4.1955665467525265E-3</v>
      </c>
      <c r="H145" s="9">
        <f t="shared" si="21"/>
        <v>688959.48940723634</v>
      </c>
      <c r="I145" s="3">
        <f t="shared" si="22"/>
        <v>68895.94894072364</v>
      </c>
      <c r="J145" s="3">
        <f t="shared" si="23"/>
        <v>3312.3052375347902</v>
      </c>
      <c r="K145" s="3">
        <f t="shared" si="24"/>
        <v>19684.556840206755</v>
      </c>
      <c r="L145" s="3">
        <f t="shared" si="25"/>
        <v>310031.77023325633</v>
      </c>
      <c r="M145" s="3" t="s">
        <v>386</v>
      </c>
      <c r="N145" s="5">
        <f t="shared" si="26"/>
        <v>14045.377804662252</v>
      </c>
    </row>
    <row r="146" spans="1:14" x14ac:dyDescent="0.4">
      <c r="A146" t="s">
        <v>354</v>
      </c>
      <c r="B146" t="str">
        <f>TRIM(_xlfn.XLOOKUP(A146,UNIDADES[UNIDADE],UNIDADES[POSICAO NASCENTE/POENTE]) &amp; " " &amp; _xlfn.XLOOKUP(A146,UNIDADES[UNIDADE],UNIDADES[POSICAO NORTE/SUL]) &amp; " " &amp; _xlfn.XLOOKUP(A146,UNIDADES[UNIDADE],UNIDADES[POSICAO INTERNO/EXTERNO]))</f>
        <v>NORTE EXTERNO</v>
      </c>
      <c r="C146" s="2">
        <f>_xlfn.XLOOKUP(A146,UNIDADES[UNIDADE],UNIDADES[AREA PADRAO])</f>
        <v>57.580400001903698</v>
      </c>
      <c r="D146" s="2">
        <f>_xlfn.XLOOKUP(A146,UNIDADES[UNIDADE],UNIDADES[AREA TERRACO])</f>
        <v>0</v>
      </c>
      <c r="E146" s="1">
        <f>_xlfn.XLOOKUP(A146,UNIDADES[UNIDADE],UNIDADES[AREA CALCULO DE PRECO])</f>
        <v>57.580400001903698</v>
      </c>
      <c r="F146" s="2">
        <f>F138*0.9</f>
        <v>118.18127953211581</v>
      </c>
      <c r="G146" s="8">
        <f t="shared" si="20"/>
        <v>4.6657765391844783E-3</v>
      </c>
      <c r="H146" s="9">
        <f t="shared" si="21"/>
        <v>766173.28942450648</v>
      </c>
      <c r="I146" s="3">
        <f t="shared" si="22"/>
        <v>76617.328942450651</v>
      </c>
      <c r="J146" s="3">
        <f t="shared" si="23"/>
        <v>3683.5254299255121</v>
      </c>
      <c r="K146" s="3">
        <f t="shared" si="24"/>
        <v>21890.665412128757</v>
      </c>
      <c r="L146" s="3">
        <f t="shared" si="25"/>
        <v>344777.98024102795</v>
      </c>
      <c r="M146" s="3" t="s">
        <v>386</v>
      </c>
      <c r="N146" s="5">
        <f t="shared" si="26"/>
        <v>13306.147393890553</v>
      </c>
    </row>
    <row r="147" spans="1:14" x14ac:dyDescent="0.4">
      <c r="A147" t="s">
        <v>306</v>
      </c>
      <c r="B147" t="str">
        <f>TRIM(_xlfn.XLOOKUP(A147,UNIDADES[UNIDADE],UNIDADES[POSICAO NASCENTE/POENTE]) &amp; " " &amp; _xlfn.XLOOKUP(A147,UNIDADES[UNIDADE],UNIDADES[POSICAO NORTE/SUL]) &amp; " " &amp; _xlfn.XLOOKUP(A147,UNIDADES[UNIDADE],UNIDADES[POSICAO INTERNO/EXTERNO]))</f>
        <v>NASCENTE NORTE EXTERNO</v>
      </c>
      <c r="C147" s="2">
        <f>_xlfn.XLOOKUP(A147,UNIDADES[UNIDADE],UNIDADES[AREA PADRAO])</f>
        <v>107.76375755900401</v>
      </c>
      <c r="D147" s="2">
        <f>_xlfn.XLOOKUP(A147,UNIDADES[UNIDADE],UNIDADES[AREA TERRACO])</f>
        <v>0</v>
      </c>
      <c r="E147" s="1">
        <f>_xlfn.XLOOKUP(A147,UNIDADES[UNIDADE],UNIDADES[AREA CALCULO DE PRECO])</f>
        <v>107.76375755900401</v>
      </c>
      <c r="F147" s="2">
        <f>F138*1.01</f>
        <v>132.62565814159663</v>
      </c>
      <c r="G147" s="8">
        <f t="shared" si="20"/>
        <v>9.7994307456145749E-3</v>
      </c>
      <c r="H147" s="9">
        <f t="shared" si="21"/>
        <v>1609177.3846862116</v>
      </c>
      <c r="I147" s="3">
        <f t="shared" si="22"/>
        <v>160917.73846862116</v>
      </c>
      <c r="J147" s="3">
        <f t="shared" si="23"/>
        <v>7736.4297340683252</v>
      </c>
      <c r="K147" s="3">
        <f t="shared" si="24"/>
        <v>45976.496705320329</v>
      </c>
      <c r="L147" s="3">
        <f t="shared" si="25"/>
        <v>724129.82310879522</v>
      </c>
      <c r="M147" s="3" t="s">
        <v>386</v>
      </c>
      <c r="N147" s="5">
        <f t="shared" si="26"/>
        <v>14932.454297588287</v>
      </c>
    </row>
    <row r="148" spans="1:14" x14ac:dyDescent="0.4">
      <c r="A148" t="s">
        <v>296</v>
      </c>
      <c r="B148" t="str">
        <f>TRIM(_xlfn.XLOOKUP(A148,UNIDADES[UNIDADE],UNIDADES[POSICAO NASCENTE/POENTE]) &amp; " " &amp; _xlfn.XLOOKUP(A148,UNIDADES[UNIDADE],UNIDADES[POSICAO NORTE/SUL]) &amp; " " &amp; _xlfn.XLOOKUP(A148,UNIDADES[UNIDADE],UNIDADES[POSICAO INTERNO/EXTERNO]))</f>
        <v>NASCENTE SUL INTERNO</v>
      </c>
      <c r="C148" s="2">
        <f>_xlfn.XLOOKUP(A148,UNIDADES[UNIDADE],UNIDADES[AREA PADRAO])</f>
        <v>107.333257557005</v>
      </c>
      <c r="D148" s="2">
        <f>_xlfn.XLOOKUP(A148,UNIDADES[UNIDADE],UNIDADES[AREA TERRACO])</f>
        <v>0</v>
      </c>
      <c r="E148" s="1">
        <f>_xlfn.XLOOKUP(A148,UNIDADES[UNIDADE],UNIDADES[AREA CALCULO DE PRECO])</f>
        <v>107.333257557005</v>
      </c>
      <c r="F148" s="2">
        <f>F139*1.01</f>
        <v>139.25694104867642</v>
      </c>
      <c r="G148" s="8">
        <f t="shared" si="20"/>
        <v>1.0248297668471202E-2</v>
      </c>
      <c r="H148" s="9">
        <f t="shared" si="21"/>
        <v>1682886.411235312</v>
      </c>
      <c r="I148" s="3">
        <f t="shared" si="22"/>
        <v>168288.64112353121</v>
      </c>
      <c r="J148" s="3">
        <f t="shared" si="23"/>
        <v>8090.8000540159228</v>
      </c>
      <c r="K148" s="3">
        <f t="shared" si="24"/>
        <v>48082.468892437486</v>
      </c>
      <c r="L148" s="3">
        <f t="shared" si="25"/>
        <v>757298.88505589042</v>
      </c>
      <c r="M148" s="3" t="s">
        <v>386</v>
      </c>
      <c r="N148" s="5">
        <f t="shared" si="26"/>
        <v>15679.077012467698</v>
      </c>
    </row>
    <row r="149" spans="1:14" x14ac:dyDescent="0.4">
      <c r="A149" t="s">
        <v>289</v>
      </c>
      <c r="B149" t="str">
        <f>TRIM(_xlfn.XLOOKUP(A149,UNIDADES[UNIDADE],UNIDADES[POSICAO NASCENTE/POENTE]) &amp; " " &amp; _xlfn.XLOOKUP(A149,UNIDADES[UNIDADE],UNIDADES[POSICAO NORTE/SUL]) &amp; " " &amp; _xlfn.XLOOKUP(A149,UNIDADES[UNIDADE],UNIDADES[POSICAO INTERNO/EXTERNO]))</f>
        <v>SUL INTERNO</v>
      </c>
      <c r="C149" s="2">
        <f>_xlfn.XLOOKUP(A149,UNIDADES[UNIDADE],UNIDADES[AREA PADRAO])</f>
        <v>75.988299987721106</v>
      </c>
      <c r="D149" s="2">
        <f>_xlfn.XLOOKUP(A149,UNIDADES[UNIDADE],UNIDADES[AREA TERRACO])</f>
        <v>0</v>
      </c>
      <c r="E149" s="1">
        <f>_xlfn.XLOOKUP(A149,UNIDADES[UNIDADE],UNIDADES[AREA CALCULO DE PRECO])</f>
        <v>75.988299987721106</v>
      </c>
      <c r="F149" s="2">
        <f>F148*0.95</f>
        <v>132.29409399624259</v>
      </c>
      <c r="G149" s="8">
        <f t="shared" si="20"/>
        <v>6.8926742610283011E-3</v>
      </c>
      <c r="H149" s="9">
        <f t="shared" si="21"/>
        <v>1131855.0871762785</v>
      </c>
      <c r="I149" s="3">
        <f t="shared" si="22"/>
        <v>113185.50871762785</v>
      </c>
      <c r="J149" s="3">
        <f t="shared" si="23"/>
        <v>5441.6109960398007</v>
      </c>
      <c r="K149" s="3">
        <f t="shared" si="24"/>
        <v>32338.716776465099</v>
      </c>
      <c r="L149" s="3">
        <f t="shared" si="25"/>
        <v>509334.78922932531</v>
      </c>
      <c r="M149" s="3" t="s">
        <v>386</v>
      </c>
      <c r="N149" s="5">
        <f t="shared" si="26"/>
        <v>14895.123161844311</v>
      </c>
    </row>
    <row r="150" spans="1:14" x14ac:dyDescent="0.4">
      <c r="A150" t="s">
        <v>323</v>
      </c>
      <c r="B150" t="str">
        <f>TRIM(_xlfn.XLOOKUP(A150,UNIDADES[UNIDADE],UNIDADES[POSICAO NASCENTE/POENTE]) &amp; " " &amp; _xlfn.XLOOKUP(A150,UNIDADES[UNIDADE],UNIDADES[POSICAO NORTE/SUL]) &amp; " " &amp; _xlfn.XLOOKUP(A150,UNIDADES[UNIDADE],UNIDADES[POSICAO INTERNO/EXTERNO]))</f>
        <v>SUL INTERNO</v>
      </c>
      <c r="C150" s="2">
        <f>_xlfn.XLOOKUP(A150,UNIDADES[UNIDADE],UNIDADES[AREA PADRAO])</f>
        <v>54.312999998096998</v>
      </c>
      <c r="D150" s="2">
        <f>_xlfn.XLOOKUP(A150,UNIDADES[UNIDADE],UNIDADES[AREA TERRACO])</f>
        <v>0</v>
      </c>
      <c r="E150" s="1">
        <f>_xlfn.XLOOKUP(A150,UNIDADES[UNIDADE],UNIDADES[AREA CALCULO DE PRECO])</f>
        <v>54.312999998096998</v>
      </c>
      <c r="F150" s="2">
        <f>F148*0.95</f>
        <v>132.29409399624259</v>
      </c>
      <c r="G150" s="8">
        <f t="shared" si="20"/>
        <v>4.926571816800826E-3</v>
      </c>
      <c r="H150" s="9">
        <f t="shared" si="21"/>
        <v>808998.82426090469</v>
      </c>
      <c r="I150" s="3">
        <f t="shared" si="22"/>
        <v>80899.88242609048</v>
      </c>
      <c r="J150" s="3">
        <f t="shared" si="23"/>
        <v>3889.4174243312727</v>
      </c>
      <c r="K150" s="3">
        <f t="shared" si="24"/>
        <v>23114.252121740137</v>
      </c>
      <c r="L150" s="3">
        <f t="shared" si="25"/>
        <v>364049.47091740713</v>
      </c>
      <c r="M150" s="3" t="s">
        <v>386</v>
      </c>
      <c r="N150" s="5">
        <f t="shared" si="26"/>
        <v>14895.123161844313</v>
      </c>
    </row>
    <row r="151" spans="1:14" x14ac:dyDescent="0.4">
      <c r="A151" t="s">
        <v>312</v>
      </c>
      <c r="B151" t="str">
        <f>TRIM(_xlfn.XLOOKUP(A151,UNIDADES[UNIDADE],UNIDADES[POSICAO NASCENTE/POENTE]) &amp; " " &amp; _xlfn.XLOOKUP(A151,UNIDADES[UNIDADE],UNIDADES[POSICAO NORTE/SUL]) &amp; " " &amp; _xlfn.XLOOKUP(A151,UNIDADES[UNIDADE],UNIDADES[POSICAO INTERNO/EXTERNO]))</f>
        <v>POENTE SUL INTERNO</v>
      </c>
      <c r="C151" s="2">
        <f>_xlfn.XLOOKUP(A151,UNIDADES[UNIDADE],UNIDADES[AREA PADRAO])</f>
        <v>59.500987689683299</v>
      </c>
      <c r="D151" s="2">
        <f>_xlfn.XLOOKUP(A151,UNIDADES[UNIDADE],UNIDADES[AREA TERRACO])</f>
        <v>0</v>
      </c>
      <c r="E151" s="1">
        <f>_xlfn.XLOOKUP(A151,UNIDADES[UNIDADE],UNIDADES[AREA CALCULO DE PRECO])</f>
        <v>59.500987689683299</v>
      </c>
      <c r="F151" s="2">
        <f>F148*0.95</f>
        <v>132.29409399624259</v>
      </c>
      <c r="G151" s="8">
        <f t="shared" si="20"/>
        <v>5.39715885762299E-3</v>
      </c>
      <c r="H151" s="9">
        <f t="shared" si="21"/>
        <v>886274.53988921503</v>
      </c>
      <c r="I151" s="3">
        <f t="shared" si="22"/>
        <v>88627.453988921508</v>
      </c>
      <c r="J151" s="3">
        <f t="shared" si="23"/>
        <v>4260.9352879289181</v>
      </c>
      <c r="K151" s="3">
        <f t="shared" si="24"/>
        <v>25322.129711120429</v>
      </c>
      <c r="L151" s="3">
        <f t="shared" si="25"/>
        <v>398823.54295014677</v>
      </c>
      <c r="M151" s="3" t="s">
        <v>386</v>
      </c>
      <c r="N151" s="5">
        <f t="shared" si="26"/>
        <v>14895.123161844313</v>
      </c>
    </row>
    <row r="152" spans="1:14" x14ac:dyDescent="0.4">
      <c r="A152" t="s">
        <v>302</v>
      </c>
      <c r="B152" t="str">
        <f>TRIM(_xlfn.XLOOKUP(A152,UNIDADES[UNIDADE],UNIDADES[POSICAO NASCENTE/POENTE]) &amp; " " &amp; _xlfn.XLOOKUP(A152,UNIDADES[UNIDADE],UNIDADES[POSICAO NORTE/SUL]) &amp; " " &amp; _xlfn.XLOOKUP(A152,UNIDADES[UNIDADE],UNIDADES[POSICAO INTERNO/EXTERNO]))</f>
        <v>POENTE NORTE EXTERNO</v>
      </c>
      <c r="C152" s="2">
        <f>_xlfn.XLOOKUP(A152,UNIDADES[UNIDADE],UNIDADES[AREA PADRAO])</f>
        <v>58.913550312519497</v>
      </c>
      <c r="D152" s="2">
        <f>_xlfn.XLOOKUP(A152,UNIDADES[UNIDADE],UNIDADES[AREA TERRACO])</f>
        <v>0</v>
      </c>
      <c r="E152" s="1">
        <f>_xlfn.XLOOKUP(A152,UNIDADES[UNIDADE],UNIDADES[AREA CALCULO DE PRECO])</f>
        <v>58.913550312519497</v>
      </c>
      <c r="F152" s="2">
        <f>F147*0.9</f>
        <v>119.36309232743697</v>
      </c>
      <c r="G152" s="8">
        <f t="shared" si="20"/>
        <v>4.8215405847809555E-3</v>
      </c>
      <c r="H152" s="9">
        <f t="shared" si="21"/>
        <v>791751.50779532909</v>
      </c>
      <c r="I152" s="3">
        <f t="shared" si="22"/>
        <v>79175.150779532909</v>
      </c>
      <c r="J152" s="3">
        <f t="shared" si="23"/>
        <v>3806.4976336313898</v>
      </c>
      <c r="K152" s="3">
        <f t="shared" si="24"/>
        <v>22621.471651295116</v>
      </c>
      <c r="L152" s="3">
        <f t="shared" si="25"/>
        <v>356288.17850789812</v>
      </c>
      <c r="M152" s="3" t="s">
        <v>386</v>
      </c>
      <c r="N152" s="5">
        <f t="shared" si="26"/>
        <v>13439.20886782946</v>
      </c>
    </row>
    <row r="153" spans="1:14" x14ac:dyDescent="0.4">
      <c r="A153" t="s">
        <v>355</v>
      </c>
      <c r="B153" t="str">
        <f>TRIM(_xlfn.XLOOKUP(A153,UNIDADES[UNIDADE],UNIDADES[POSICAO NASCENTE/POENTE]) &amp; " " &amp; _xlfn.XLOOKUP(A153,UNIDADES[UNIDADE],UNIDADES[POSICAO NORTE/SUL]) &amp; " " &amp; _xlfn.XLOOKUP(A153,UNIDADES[UNIDADE],UNIDADES[POSICAO INTERNO/EXTERNO]))</f>
        <v>NORTE EXTERNO</v>
      </c>
      <c r="C153" s="2">
        <f>_xlfn.XLOOKUP(A153,UNIDADES[UNIDADE],UNIDADES[AREA PADRAO])</f>
        <v>48.827200057960503</v>
      </c>
      <c r="D153" s="2">
        <f>_xlfn.XLOOKUP(A153,UNIDADES[UNIDADE],UNIDADES[AREA TERRACO])</f>
        <v>0</v>
      </c>
      <c r="E153" s="1">
        <f>_xlfn.XLOOKUP(A153,UNIDADES[UNIDADE],UNIDADES[AREA CALCULO DE PRECO])</f>
        <v>48.827200057960503</v>
      </c>
      <c r="F153" s="2">
        <f>F147*0.95</f>
        <v>125.9943752345168</v>
      </c>
      <c r="G153" s="8">
        <f t="shared" si="20"/>
        <v>4.2180677204750995E-3</v>
      </c>
      <c r="H153" s="9">
        <f t="shared" si="21"/>
        <v>692654.43667746068</v>
      </c>
      <c r="I153" s="3">
        <f t="shared" si="22"/>
        <v>69265.443667746076</v>
      </c>
      <c r="J153" s="3">
        <f t="shared" si="23"/>
        <v>3330.0694071031762</v>
      </c>
      <c r="K153" s="3">
        <f t="shared" si="24"/>
        <v>19790.126762213164</v>
      </c>
      <c r="L153" s="3">
        <f t="shared" si="25"/>
        <v>311694.49650485732</v>
      </c>
      <c r="M153" s="3" t="s">
        <v>386</v>
      </c>
      <c r="N153" s="5">
        <f t="shared" si="26"/>
        <v>14185.831582708874</v>
      </c>
    </row>
    <row r="154" spans="1:14" x14ac:dyDescent="0.4">
      <c r="A154" t="s">
        <v>356</v>
      </c>
      <c r="B154" t="str">
        <f>TRIM(_xlfn.XLOOKUP(A154,UNIDADES[UNIDADE],UNIDADES[POSICAO NASCENTE/POENTE]) &amp; " " &amp; _xlfn.XLOOKUP(A154,UNIDADES[UNIDADE],UNIDADES[POSICAO NORTE/SUL]) &amp; " " &amp; _xlfn.XLOOKUP(A154,UNIDADES[UNIDADE],UNIDADES[POSICAO INTERNO/EXTERNO]))</f>
        <v>NORTE EXTERNO</v>
      </c>
      <c r="C154" s="2">
        <f>_xlfn.XLOOKUP(A154,UNIDADES[UNIDADE],UNIDADES[AREA PADRAO])</f>
        <v>48.566399941747498</v>
      </c>
      <c r="D154" s="2">
        <f>_xlfn.XLOOKUP(A154,UNIDADES[UNIDADE],UNIDADES[AREA TERRACO])</f>
        <v>0</v>
      </c>
      <c r="E154" s="1">
        <f>_xlfn.XLOOKUP(A154,UNIDADES[UNIDADE],UNIDADES[AREA CALCULO DE PRECO])</f>
        <v>48.566399941747498</v>
      </c>
      <c r="F154" s="2">
        <f>F147*0.95</f>
        <v>125.9943752345168</v>
      </c>
      <c r="G154" s="8">
        <f t="shared" si="20"/>
        <v>4.1955378078364801E-3</v>
      </c>
      <c r="H154" s="9">
        <f t="shared" si="21"/>
        <v>688954.770152112</v>
      </c>
      <c r="I154" s="3">
        <f t="shared" si="22"/>
        <v>68895.477015211203</v>
      </c>
      <c r="J154" s="3">
        <f t="shared" si="23"/>
        <v>3312.2825488082308</v>
      </c>
      <c r="K154" s="3">
        <f t="shared" si="24"/>
        <v>19684.422004346059</v>
      </c>
      <c r="L154" s="3">
        <f t="shared" si="25"/>
        <v>310029.64656845044</v>
      </c>
      <c r="M154" s="3" t="s">
        <v>386</v>
      </c>
      <c r="N154" s="5">
        <f t="shared" si="26"/>
        <v>14185.831582708872</v>
      </c>
    </row>
    <row r="155" spans="1:14" x14ac:dyDescent="0.4">
      <c r="A155" t="s">
        <v>357</v>
      </c>
      <c r="B155" t="str">
        <f>TRIM(_xlfn.XLOOKUP(A155,UNIDADES[UNIDADE],UNIDADES[POSICAO NASCENTE/POENTE]) &amp; " " &amp; _xlfn.XLOOKUP(A155,UNIDADES[UNIDADE],UNIDADES[POSICAO NORTE/SUL]) &amp; " " &amp; _xlfn.XLOOKUP(A155,UNIDADES[UNIDADE],UNIDADES[POSICAO INTERNO/EXTERNO]))</f>
        <v>NORTE EXTERNO</v>
      </c>
      <c r="C155" s="2">
        <f>_xlfn.XLOOKUP(A155,UNIDADES[UNIDADE],UNIDADES[AREA PADRAO])</f>
        <v>56.968400000000202</v>
      </c>
      <c r="D155" s="2">
        <f>_xlfn.XLOOKUP(A155,UNIDADES[UNIDADE],UNIDADES[AREA TERRACO])</f>
        <v>0</v>
      </c>
      <c r="E155" s="1">
        <f>_xlfn.XLOOKUP(A155,UNIDADES[UNIDADE],UNIDADES[AREA CALCULO DE PRECO])</f>
        <v>56.968400000000202</v>
      </c>
      <c r="F155" s="2">
        <f>F147*0.9</f>
        <v>119.36309232743697</v>
      </c>
      <c r="G155" s="8">
        <f t="shared" si="20"/>
        <v>4.6623476465594378E-3</v>
      </c>
      <c r="H155" s="9">
        <f t="shared" si="21"/>
        <v>765610.2264660584</v>
      </c>
      <c r="I155" s="3">
        <f t="shared" si="22"/>
        <v>76561.022646605838</v>
      </c>
      <c r="J155" s="3">
        <f t="shared" si="23"/>
        <v>3680.8183964714344</v>
      </c>
      <c r="K155" s="3">
        <f t="shared" si="24"/>
        <v>21874.577899030239</v>
      </c>
      <c r="L155" s="3">
        <f t="shared" si="25"/>
        <v>344524.60190972628</v>
      </c>
      <c r="M155" s="3" t="s">
        <v>386</v>
      </c>
      <c r="N155" s="5">
        <f t="shared" si="26"/>
        <v>13439.208867829459</v>
      </c>
    </row>
    <row r="156" spans="1:14" x14ac:dyDescent="0.4">
      <c r="A156" t="s">
        <v>305</v>
      </c>
      <c r="B156" t="str">
        <f>TRIM(_xlfn.XLOOKUP(A156,UNIDADES[UNIDADE],UNIDADES[POSICAO NASCENTE/POENTE]) &amp; " " &amp; _xlfn.XLOOKUP(A156,UNIDADES[UNIDADE],UNIDADES[POSICAO NORTE/SUL]) &amp; " " &amp; _xlfn.XLOOKUP(A156,UNIDADES[UNIDADE],UNIDADES[POSICAO INTERNO/EXTERNO]))</f>
        <v>NASCENTE NORTE EXTERNO</v>
      </c>
      <c r="C156" s="2">
        <f>_xlfn.XLOOKUP(A156,UNIDADES[UNIDADE],UNIDADES[AREA PADRAO])</f>
        <v>106.93295755635</v>
      </c>
      <c r="D156" s="2">
        <f>_xlfn.XLOOKUP(A156,UNIDADES[UNIDADE],UNIDADES[AREA TERRACO])</f>
        <v>0</v>
      </c>
      <c r="E156" s="1">
        <f>_xlfn.XLOOKUP(A156,UNIDADES[UNIDADE],UNIDADES[AREA CALCULO DE PRECO])</f>
        <v>106.93295755635</v>
      </c>
      <c r="F156" s="2">
        <f>F147*1.01</f>
        <v>133.95191472301261</v>
      </c>
      <c r="G156" s="8">
        <f t="shared" si="20"/>
        <v>9.8211212850264733E-3</v>
      </c>
      <c r="H156" s="9">
        <f t="shared" si="21"/>
        <v>1612739.2166323063</v>
      </c>
      <c r="I156" s="3">
        <f t="shared" si="22"/>
        <v>161273.92166323063</v>
      </c>
      <c r="J156" s="3">
        <f t="shared" si="23"/>
        <v>7753.5539261168578</v>
      </c>
      <c r="K156" s="3">
        <f t="shared" si="24"/>
        <v>46078.263332351613</v>
      </c>
      <c r="L156" s="3">
        <f t="shared" si="25"/>
        <v>725732.64748453791</v>
      </c>
      <c r="M156" s="3" t="s">
        <v>386</v>
      </c>
      <c r="N156" s="5">
        <f t="shared" si="26"/>
        <v>15081.778840564173</v>
      </c>
    </row>
    <row r="157" spans="1:14" x14ac:dyDescent="0.4">
      <c r="A157" t="s">
        <v>297</v>
      </c>
      <c r="B157" t="str">
        <f>TRIM(_xlfn.XLOOKUP(A157,UNIDADES[UNIDADE],UNIDADES[POSICAO NASCENTE/POENTE]) &amp; " " &amp; _xlfn.XLOOKUP(A157,UNIDADES[UNIDADE],UNIDADES[POSICAO NORTE/SUL]) &amp; " " &amp; _xlfn.XLOOKUP(A157,UNIDADES[UNIDADE],UNIDADES[POSICAO INTERNO/EXTERNO]))</f>
        <v>NASCENTE SUL INTERNO</v>
      </c>
      <c r="C157" s="2">
        <f>_xlfn.XLOOKUP(A157,UNIDADES[UNIDADE],UNIDADES[AREA PADRAO])</f>
        <v>107.136657558349</v>
      </c>
      <c r="D157" s="2">
        <f>_xlfn.XLOOKUP(A157,UNIDADES[UNIDADE],UNIDADES[AREA TERRACO])</f>
        <v>0</v>
      </c>
      <c r="E157" s="1">
        <f>_xlfn.XLOOKUP(A157,UNIDADES[UNIDADE],UNIDADES[AREA CALCULO DE PRECO])</f>
        <v>107.136657558349</v>
      </c>
      <c r="F157" s="2">
        <f>F148*1.01</f>
        <v>140.6495104591632</v>
      </c>
      <c r="G157" s="8">
        <f t="shared" si="20"/>
        <v>1.0331821344867787E-2</v>
      </c>
      <c r="H157" s="9">
        <f t="shared" si="21"/>
        <v>1696601.943762891</v>
      </c>
      <c r="I157" s="3">
        <f t="shared" si="22"/>
        <v>169660.19437628912</v>
      </c>
      <c r="J157" s="3">
        <f t="shared" si="23"/>
        <v>8156.7401142446679</v>
      </c>
      <c r="K157" s="3">
        <f t="shared" si="24"/>
        <v>48474.341250368321</v>
      </c>
      <c r="L157" s="3">
        <f t="shared" si="25"/>
        <v>763470.87469330092</v>
      </c>
      <c r="M157" s="3" t="s">
        <v>386</v>
      </c>
      <c r="N157" s="5">
        <f t="shared" si="26"/>
        <v>15835.867782592377</v>
      </c>
    </row>
    <row r="158" spans="1:14" x14ac:dyDescent="0.4">
      <c r="A158" t="s">
        <v>284</v>
      </c>
      <c r="B158" t="str">
        <f>TRIM(_xlfn.XLOOKUP(A158,UNIDADES[UNIDADE],UNIDADES[POSICAO NASCENTE/POENTE]) &amp; " " &amp; _xlfn.XLOOKUP(A158,UNIDADES[UNIDADE],UNIDADES[POSICAO NORTE/SUL]) &amp; " " &amp; _xlfn.XLOOKUP(A158,UNIDADES[UNIDADE],UNIDADES[POSICAO INTERNO/EXTERNO]))</f>
        <v>SUL INTERNO</v>
      </c>
      <c r="C158" s="2">
        <f>_xlfn.XLOOKUP(A158,UNIDADES[UNIDADE],UNIDADES[AREA PADRAO])</f>
        <v>75.256824991647093</v>
      </c>
      <c r="D158" s="2">
        <f>_xlfn.XLOOKUP(A158,UNIDADES[UNIDADE],UNIDADES[AREA TERRACO])</f>
        <v>0</v>
      </c>
      <c r="E158" s="1">
        <f>_xlfn.XLOOKUP(A158,UNIDADES[UNIDADE],UNIDADES[AREA CALCULO DE PRECO])</f>
        <v>75.256824991647093</v>
      </c>
      <c r="F158" s="2">
        <f>F157*0.95</f>
        <v>133.61703493620502</v>
      </c>
      <c r="G158" s="8">
        <f t="shared" si="20"/>
        <v>6.8945875677855874E-3</v>
      </c>
      <c r="H158" s="9">
        <f t="shared" si="21"/>
        <v>1132169.2737901458</v>
      </c>
      <c r="I158" s="3">
        <f t="shared" si="22"/>
        <v>113216.92737901458</v>
      </c>
      <c r="J158" s="3">
        <f t="shared" si="23"/>
        <v>5443.1215086064703</v>
      </c>
      <c r="K158" s="3">
        <f t="shared" si="24"/>
        <v>32347.693536861309</v>
      </c>
      <c r="L158" s="3">
        <f t="shared" si="25"/>
        <v>509476.1732055656</v>
      </c>
      <c r="M158" s="3" t="s">
        <v>386</v>
      </c>
      <c r="N158" s="5">
        <f t="shared" si="26"/>
        <v>15044.074393462752</v>
      </c>
    </row>
    <row r="159" spans="1:14" x14ac:dyDescent="0.4">
      <c r="A159" t="s">
        <v>322</v>
      </c>
      <c r="B159" t="str">
        <f>TRIM(_xlfn.XLOOKUP(A159,UNIDADES[UNIDADE],UNIDADES[POSICAO NASCENTE/POENTE]) &amp; " " &amp; _xlfn.XLOOKUP(A159,UNIDADES[UNIDADE],UNIDADES[POSICAO NORTE/SUL]) &amp; " " &amp; _xlfn.XLOOKUP(A159,UNIDADES[UNIDADE],UNIDADES[POSICAO INTERNO/EXTERNO]))</f>
        <v>SUL INTERNO</v>
      </c>
      <c r="C159" s="2">
        <f>_xlfn.XLOOKUP(A159,UNIDADES[UNIDADE],UNIDADES[AREA PADRAO])</f>
        <v>54.336053357361202</v>
      </c>
      <c r="D159" s="2">
        <f>_xlfn.XLOOKUP(A159,UNIDADES[UNIDADE],UNIDADES[AREA TERRACO])</f>
        <v>0</v>
      </c>
      <c r="E159" s="1">
        <f>_xlfn.XLOOKUP(A159,UNIDADES[UNIDADE],UNIDADES[AREA CALCULO DE PRECO])</f>
        <v>54.336053357361202</v>
      </c>
      <c r="F159" s="2">
        <f>F157*0.95</f>
        <v>133.61703493620502</v>
      </c>
      <c r="G159" s="8">
        <f t="shared" si="20"/>
        <v>4.9779495481210804E-3</v>
      </c>
      <c r="H159" s="9">
        <f t="shared" si="21"/>
        <v>817435.62895530357</v>
      </c>
      <c r="I159" s="3">
        <f t="shared" si="22"/>
        <v>81743.562895530369</v>
      </c>
      <c r="J159" s="3">
        <f t="shared" si="23"/>
        <v>3929.9789853620364</v>
      </c>
      <c r="K159" s="3">
        <f t="shared" si="24"/>
        <v>23355.303684437247</v>
      </c>
      <c r="L159" s="3">
        <f t="shared" si="25"/>
        <v>367846.0330298866</v>
      </c>
      <c r="M159" s="3" t="s">
        <v>386</v>
      </c>
      <c r="N159" s="5">
        <f t="shared" si="26"/>
        <v>15044.074393462754</v>
      </c>
    </row>
    <row r="160" spans="1:14" x14ac:dyDescent="0.4">
      <c r="A160" t="s">
        <v>313</v>
      </c>
      <c r="B160" t="str">
        <f>TRIM(_xlfn.XLOOKUP(A160,UNIDADES[UNIDADE],UNIDADES[POSICAO NASCENTE/POENTE]) &amp; " " &amp; _xlfn.XLOOKUP(A160,UNIDADES[UNIDADE],UNIDADES[POSICAO NORTE/SUL]) &amp; " " &amp; _xlfn.XLOOKUP(A160,UNIDADES[UNIDADE],UNIDADES[POSICAO INTERNO/EXTERNO]))</f>
        <v>POENTE SUL INTERNO</v>
      </c>
      <c r="C160" s="2">
        <f>_xlfn.XLOOKUP(A160,UNIDADES[UNIDADE],UNIDADES[AREA PADRAO])</f>
        <v>59.501049999999999</v>
      </c>
      <c r="D160" s="2">
        <f>_xlfn.XLOOKUP(A160,UNIDADES[UNIDADE],UNIDADES[AREA TERRACO])</f>
        <v>0</v>
      </c>
      <c r="E160" s="1">
        <f>_xlfn.XLOOKUP(A160,UNIDADES[UNIDADE],UNIDADES[AREA CALCULO DE PRECO])</f>
        <v>59.501049999999999</v>
      </c>
      <c r="F160" s="2">
        <f>F157*0.95</f>
        <v>133.61703493620502</v>
      </c>
      <c r="G160" s="8">
        <f t="shared" si="20"/>
        <v>5.4511361547038622E-3</v>
      </c>
      <c r="H160" s="9">
        <f t="shared" si="21"/>
        <v>895138.22268914699</v>
      </c>
      <c r="I160" s="3">
        <f t="shared" si="22"/>
        <v>89513.822268914708</v>
      </c>
      <c r="J160" s="3">
        <f t="shared" si="23"/>
        <v>4303.5491475439758</v>
      </c>
      <c r="K160" s="3">
        <f t="shared" si="24"/>
        <v>25575.377791118488</v>
      </c>
      <c r="L160" s="3">
        <f t="shared" si="25"/>
        <v>402812.20021011616</v>
      </c>
      <c r="M160" s="3" t="s">
        <v>386</v>
      </c>
      <c r="N160" s="5">
        <f t="shared" si="26"/>
        <v>15044.074393462754</v>
      </c>
    </row>
    <row r="161" spans="1:14" x14ac:dyDescent="0.4">
      <c r="A161" t="s">
        <v>301</v>
      </c>
      <c r="B161" t="str">
        <f>TRIM(_xlfn.XLOOKUP(A161,UNIDADES[UNIDADE],UNIDADES[POSICAO NASCENTE/POENTE]) &amp; " " &amp; _xlfn.XLOOKUP(A161,UNIDADES[UNIDADE],UNIDADES[POSICAO NORTE/SUL]) &amp; " " &amp; _xlfn.XLOOKUP(A161,UNIDADES[UNIDADE],UNIDADES[POSICAO INTERNO/EXTERNO]))</f>
        <v>POENTE NORTE EXTERNO</v>
      </c>
      <c r="C161" s="2">
        <f>_xlfn.XLOOKUP(A161,UNIDADES[UNIDADE],UNIDADES[AREA PADRAO])</f>
        <v>58.9135503202302</v>
      </c>
      <c r="D161" s="2">
        <f>_xlfn.XLOOKUP(A161,UNIDADES[UNIDADE],UNIDADES[AREA TERRACO])</f>
        <v>0</v>
      </c>
      <c r="E161" s="1">
        <f>_xlfn.XLOOKUP(A161,UNIDADES[UNIDADE],UNIDADES[AREA CALCULO DE PRECO])</f>
        <v>58.9135503202302</v>
      </c>
      <c r="F161" s="2">
        <f>F156*0.9</f>
        <v>120.55672325071134</v>
      </c>
      <c r="G161" s="8">
        <f t="shared" si="20"/>
        <v>4.8697559912661264E-3</v>
      </c>
      <c r="H161" s="9">
        <f t="shared" si="21"/>
        <v>799669.02297794435</v>
      </c>
      <c r="I161" s="3">
        <f t="shared" si="22"/>
        <v>79966.902297794441</v>
      </c>
      <c r="J161" s="3">
        <f t="shared" si="23"/>
        <v>3844.5626104708863</v>
      </c>
      <c r="K161" s="3">
        <f t="shared" si="24"/>
        <v>22847.686370798412</v>
      </c>
      <c r="L161" s="3">
        <f t="shared" si="25"/>
        <v>359851.06034007494</v>
      </c>
      <c r="M161" s="3" t="s">
        <v>386</v>
      </c>
      <c r="N161" s="5">
        <f t="shared" si="26"/>
        <v>13573.600956507755</v>
      </c>
    </row>
    <row r="162" spans="1:14" x14ac:dyDescent="0.4">
      <c r="A162" t="s">
        <v>358</v>
      </c>
      <c r="B162" t="str">
        <f>TRIM(_xlfn.XLOOKUP(A162,UNIDADES[UNIDADE],UNIDADES[POSICAO NASCENTE/POENTE]) &amp; " " &amp; _xlfn.XLOOKUP(A162,UNIDADES[UNIDADE],UNIDADES[POSICAO NORTE/SUL]) &amp; " " &amp; _xlfn.XLOOKUP(A162,UNIDADES[UNIDADE],UNIDADES[POSICAO INTERNO/EXTERNO]))</f>
        <v>NORTE EXTERNO</v>
      </c>
      <c r="C162" s="2">
        <f>_xlfn.XLOOKUP(A162,UNIDADES[UNIDADE],UNIDADES[AREA PADRAO])</f>
        <v>48.331200057960999</v>
      </c>
      <c r="D162" s="2">
        <f>_xlfn.XLOOKUP(A162,UNIDADES[UNIDADE],UNIDADES[AREA TERRACO])</f>
        <v>0</v>
      </c>
      <c r="E162" s="1">
        <f>_xlfn.XLOOKUP(A162,UNIDADES[UNIDADE],UNIDADES[AREA CALCULO DE PRECO])</f>
        <v>48.331200057960999</v>
      </c>
      <c r="F162" s="2">
        <f>F156*0.95</f>
        <v>127.25431898686197</v>
      </c>
      <c r="G162" s="8">
        <f t="shared" ref="G162:G164" si="27">F162*E162/SUMPRODUCT(F:F,E:E)</f>
        <v>4.2169716338527471E-3</v>
      </c>
      <c r="H162" s="9">
        <f t="shared" si="21"/>
        <v>692474.44685456855</v>
      </c>
      <c r="I162" s="3">
        <f t="shared" si="22"/>
        <v>69247.444685456852</v>
      </c>
      <c r="J162" s="3">
        <f t="shared" si="23"/>
        <v>3329.2040714161949</v>
      </c>
      <c r="K162" s="3">
        <f t="shared" si="24"/>
        <v>19784.984195844816</v>
      </c>
      <c r="L162" s="3">
        <f t="shared" si="25"/>
        <v>311613.50108455587</v>
      </c>
      <c r="M162" s="3" t="s">
        <v>386</v>
      </c>
      <c r="N162" s="5">
        <f t="shared" si="26"/>
        <v>14327.689898535964</v>
      </c>
    </row>
    <row r="163" spans="1:14" x14ac:dyDescent="0.4">
      <c r="A163" t="s">
        <v>359</v>
      </c>
      <c r="B163" t="str">
        <f>TRIM(_xlfn.XLOOKUP(A163,UNIDADES[UNIDADE],UNIDADES[POSICAO NASCENTE/POENTE]) &amp; " " &amp; _xlfn.XLOOKUP(A163,UNIDADES[UNIDADE],UNIDADES[POSICAO NORTE/SUL]) &amp; " " &amp; _xlfn.XLOOKUP(A163,UNIDADES[UNIDADE],UNIDADES[POSICAO INTERNO/EXTERNO]))</f>
        <v>NORTE EXTERNO</v>
      </c>
      <c r="C163" s="2">
        <f>_xlfn.XLOOKUP(A163,UNIDADES[UNIDADE],UNIDADES[AREA PADRAO])</f>
        <v>49.052399941747503</v>
      </c>
      <c r="D163" s="2">
        <f>_xlfn.XLOOKUP(A163,UNIDADES[UNIDADE],UNIDADES[AREA TERRACO])</f>
        <v>0</v>
      </c>
      <c r="E163" s="1">
        <f>_xlfn.XLOOKUP(A163,UNIDADES[UNIDADE],UNIDADES[AREA CALCULO DE PRECO])</f>
        <v>49.052399941747503</v>
      </c>
      <c r="F163" s="2">
        <f>F156*0.95</f>
        <v>127.25431898686197</v>
      </c>
      <c r="G163" s="8">
        <f t="shared" si="27"/>
        <v>4.2798974343422518E-3</v>
      </c>
      <c r="H163" s="9">
        <f t="shared" si="21"/>
        <v>702807.57514432177</v>
      </c>
      <c r="I163" s="3">
        <f t="shared" si="22"/>
        <v>70280.757514432175</v>
      </c>
      <c r="J163" s="3">
        <f t="shared" si="23"/>
        <v>3378.8825728092393</v>
      </c>
      <c r="K163" s="3">
        <f t="shared" si="24"/>
        <v>20080.216432694906</v>
      </c>
      <c r="L163" s="3">
        <f t="shared" si="25"/>
        <v>316263.40881494479</v>
      </c>
      <c r="M163" s="3" t="s">
        <v>386</v>
      </c>
      <c r="N163" s="5">
        <f t="shared" si="26"/>
        <v>14327.689898535964</v>
      </c>
    </row>
    <row r="164" spans="1:14" x14ac:dyDescent="0.4">
      <c r="A164" t="s">
        <v>360</v>
      </c>
      <c r="B164" t="str">
        <f>TRIM(_xlfn.XLOOKUP(A164,UNIDADES[UNIDADE],UNIDADES[POSICAO NASCENTE/POENTE]) &amp; " " &amp; _xlfn.XLOOKUP(A164,UNIDADES[UNIDADE],UNIDADES[POSICAO NORTE/SUL]) &amp; " " &amp; _xlfn.XLOOKUP(A164,UNIDADES[UNIDADE],UNIDADES[POSICAO INTERNO/EXTERNO]))</f>
        <v>NORTE EXTERNO</v>
      </c>
      <c r="C164" s="2">
        <f>_xlfn.XLOOKUP(A164,UNIDADES[UNIDADE],UNIDADES[AREA PADRAO])</f>
        <v>57.580400001903698</v>
      </c>
      <c r="D164" s="2">
        <f>_xlfn.XLOOKUP(A164,UNIDADES[UNIDADE],UNIDADES[AREA TERRACO])</f>
        <v>0</v>
      </c>
      <c r="E164" s="1">
        <f>_xlfn.XLOOKUP(A164,UNIDADES[UNIDADE],UNIDADES[AREA CALCULO DE PRECO])</f>
        <v>57.580400001903698</v>
      </c>
      <c r="F164" s="2">
        <f>F156*0.9</f>
        <v>120.55672325071134</v>
      </c>
      <c r="G164" s="8">
        <f t="shared" si="27"/>
        <v>4.7595586476220867E-3</v>
      </c>
      <c r="H164" s="9">
        <f t="shared" si="21"/>
        <v>781573.37254193914</v>
      </c>
      <c r="I164" s="3">
        <f t="shared" si="22"/>
        <v>78157.337254193917</v>
      </c>
      <c r="J164" s="3">
        <f t="shared" si="23"/>
        <v>3757.5642910670149</v>
      </c>
      <c r="K164" s="3">
        <f t="shared" si="24"/>
        <v>22330.667786912549</v>
      </c>
      <c r="L164" s="3">
        <f t="shared" si="25"/>
        <v>351708.01764387265</v>
      </c>
      <c r="M164" s="3" t="s">
        <v>386</v>
      </c>
      <c r="N164" s="5">
        <f t="shared" si="26"/>
        <v>13573.600956507755</v>
      </c>
    </row>
  </sheetData>
  <printOptions horizontalCentered="1"/>
  <pageMargins left="0.70866141732283472" right="0.70866141732283472" top="0.98425196850393704" bottom="0.74803149606299213" header="0.19685039370078741" footer="0.31496062992125984"/>
  <pageSetup paperSize="9" scale="32" fitToHeight="0" orientation="portrait" r:id="rId1"/>
  <headerFooter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5F9A-47C2-48F1-B0CF-EF072FD7A899}">
  <dimension ref="A1:E164"/>
  <sheetViews>
    <sheetView workbookViewId="0">
      <selection activeCell="G4" sqref="G4"/>
    </sheetView>
  </sheetViews>
  <sheetFormatPr defaultRowHeight="14.6" x14ac:dyDescent="0.4"/>
  <cols>
    <col min="2" max="2" width="13.84375" bestFit="1" customWidth="1"/>
    <col min="3" max="3" width="14.3828125" bestFit="1" customWidth="1"/>
    <col min="4" max="4" width="23.53515625" bestFit="1" customWidth="1"/>
    <col min="5" max="5" width="16.3046875" style="3" bestFit="1" customWidth="1"/>
  </cols>
  <sheetData>
    <row r="1" spans="1:5" x14ac:dyDescent="0.4">
      <c r="A1" t="s">
        <v>4</v>
      </c>
      <c r="B1" s="2" t="s">
        <v>8</v>
      </c>
      <c r="C1" s="2" t="s">
        <v>193</v>
      </c>
      <c r="D1" s="1" t="s">
        <v>194</v>
      </c>
      <c r="E1" s="3" t="s">
        <v>186</v>
      </c>
    </row>
    <row r="2" spans="1:5" x14ac:dyDescent="0.4">
      <c r="A2" t="s">
        <v>119</v>
      </c>
      <c r="B2" s="2" t="e">
        <f>_xlfn.XLOOKUP(A2,UNIDADES[UNIDADE],UNIDADES[AREA PADRAO])</f>
        <v>#N/A</v>
      </c>
      <c r="C2" s="2" t="e">
        <f>_xlfn.XLOOKUP(A2,UNIDADES[UNIDADE],UNIDADES[AREA TERRACO])</f>
        <v>#N/A</v>
      </c>
      <c r="D2" s="1" t="e">
        <f>_xlfn.XLOOKUP(A2,UNIDADES[UNIDADE],UNIDADES[AREA CALCULO DE PRECO])</f>
        <v>#N/A</v>
      </c>
      <c r="E2" s="3">
        <v>1189216.8982076314</v>
      </c>
    </row>
    <row r="3" spans="1:5" x14ac:dyDescent="0.4">
      <c r="A3" t="s">
        <v>120</v>
      </c>
      <c r="B3" s="2" t="e">
        <f>_xlfn.XLOOKUP(A3,UNIDADES[UNIDADE],UNIDADES[AREA PADRAO])</f>
        <v>#N/A</v>
      </c>
      <c r="C3" s="2" t="e">
        <f>_xlfn.XLOOKUP(A3,UNIDADES[UNIDADE],UNIDADES[AREA TERRACO])</f>
        <v>#N/A</v>
      </c>
      <c r="D3" s="1" t="e">
        <f>_xlfn.XLOOKUP(A3,UNIDADES[UNIDADE],UNIDADES[AREA CALCULO DE PRECO])</f>
        <v>#N/A</v>
      </c>
      <c r="E3" s="3">
        <v>1185813.6382076314</v>
      </c>
    </row>
    <row r="4" spans="1:5" x14ac:dyDescent="0.4">
      <c r="A4" t="s">
        <v>121</v>
      </c>
      <c r="B4" s="2" t="e">
        <f>_xlfn.XLOOKUP(A4,UNIDADES[UNIDADE],UNIDADES[AREA PADRAO])</f>
        <v>#N/A</v>
      </c>
      <c r="C4" s="2" t="e">
        <f>_xlfn.XLOOKUP(A4,UNIDADES[UNIDADE],UNIDADES[AREA TERRACO])</f>
        <v>#N/A</v>
      </c>
      <c r="D4" s="1" t="e">
        <f>_xlfn.XLOOKUP(A4,UNIDADES[UNIDADE],UNIDADES[AREA CALCULO DE PRECO])</f>
        <v>#N/A</v>
      </c>
      <c r="E4" s="3">
        <v>721050</v>
      </c>
    </row>
    <row r="5" spans="1:5" x14ac:dyDescent="0.4">
      <c r="A5" t="s">
        <v>122</v>
      </c>
      <c r="B5" s="2" t="e">
        <f>_xlfn.XLOOKUP(A5,UNIDADES[UNIDADE],UNIDADES[AREA PADRAO])</f>
        <v>#N/A</v>
      </c>
      <c r="C5" s="2" t="e">
        <f>_xlfn.XLOOKUP(A5,UNIDADES[UNIDADE],UNIDADES[AREA TERRACO])</f>
        <v>#N/A</v>
      </c>
      <c r="D5" s="1" t="e">
        <f>_xlfn.XLOOKUP(A5,UNIDADES[UNIDADE],UNIDADES[AREA CALCULO DE PRECO])</f>
        <v>#N/A</v>
      </c>
      <c r="E5" s="3">
        <v>977183.99999999988</v>
      </c>
    </row>
    <row r="6" spans="1:5" x14ac:dyDescent="0.4">
      <c r="A6" t="s">
        <v>123</v>
      </c>
      <c r="B6" s="2" t="e">
        <f>_xlfn.XLOOKUP(A6,UNIDADES[UNIDADE],UNIDADES[AREA PADRAO])</f>
        <v>#N/A</v>
      </c>
      <c r="C6" s="2" t="e">
        <f>_xlfn.XLOOKUP(A6,UNIDADES[UNIDADE],UNIDADES[AREA TERRACO])</f>
        <v>#N/A</v>
      </c>
      <c r="D6" s="1" t="e">
        <f>_xlfn.XLOOKUP(A6,UNIDADES[UNIDADE],UNIDADES[AREA CALCULO DE PRECO])</f>
        <v>#N/A</v>
      </c>
      <c r="E6" s="3">
        <v>593011.09108736448</v>
      </c>
    </row>
    <row r="7" spans="1:5" x14ac:dyDescent="0.4">
      <c r="A7" t="s">
        <v>124</v>
      </c>
      <c r="B7" s="2" t="e">
        <f>_xlfn.XLOOKUP(A7,UNIDADES[UNIDADE],UNIDADES[AREA PADRAO])</f>
        <v>#N/A</v>
      </c>
      <c r="C7" s="2" t="e">
        <f>_xlfn.XLOOKUP(A7,UNIDADES[UNIDADE],UNIDADES[AREA TERRACO])</f>
        <v>#N/A</v>
      </c>
      <c r="D7" s="1" t="e">
        <f>_xlfn.XLOOKUP(A7,UNIDADES[UNIDADE],UNIDADES[AREA CALCULO DE PRECO])</f>
        <v>#N/A</v>
      </c>
      <c r="E7" s="3">
        <v>811460.10000000324</v>
      </c>
    </row>
    <row r="8" spans="1:5" x14ac:dyDescent="0.4">
      <c r="A8" t="s">
        <v>125</v>
      </c>
      <c r="B8" s="2" t="e">
        <f>_xlfn.XLOOKUP(A8,UNIDADES[UNIDADE],UNIDADES[AREA PADRAO])</f>
        <v>#N/A</v>
      </c>
      <c r="C8" s="2" t="e">
        <f>_xlfn.XLOOKUP(A8,UNIDADES[UNIDADE],UNIDADES[AREA TERRACO])</f>
        <v>#N/A</v>
      </c>
      <c r="D8" s="1" t="e">
        <f>_xlfn.XLOOKUP(A8,UNIDADES[UNIDADE],UNIDADES[AREA CALCULO DE PRECO])</f>
        <v>#N/A</v>
      </c>
      <c r="E8" s="3">
        <v>1239042.4261359365</v>
      </c>
    </row>
    <row r="9" spans="1:5" x14ac:dyDescent="0.4">
      <c r="A9" t="s">
        <v>126</v>
      </c>
      <c r="B9" s="2" t="e">
        <f>_xlfn.XLOOKUP(A9,UNIDADES[UNIDADE],UNIDADES[AREA PADRAO])</f>
        <v>#N/A</v>
      </c>
      <c r="C9" s="2" t="e">
        <f>_xlfn.XLOOKUP(A9,UNIDADES[UNIDADE],UNIDADES[AREA TERRACO])</f>
        <v>#N/A</v>
      </c>
      <c r="D9" s="1" t="e">
        <f>_xlfn.XLOOKUP(A9,UNIDADES[UNIDADE],UNIDADES[AREA CALCULO DE PRECO])</f>
        <v>#N/A</v>
      </c>
      <c r="E9" s="3">
        <v>1239042.4261359365</v>
      </c>
    </row>
    <row r="10" spans="1:5" x14ac:dyDescent="0.4">
      <c r="A10" t="s">
        <v>127</v>
      </c>
      <c r="B10" s="2" t="e">
        <f>_xlfn.XLOOKUP(A10,UNIDADES[UNIDADE],UNIDADES[AREA PADRAO])</f>
        <v>#N/A</v>
      </c>
      <c r="C10" s="2" t="e">
        <f>_xlfn.XLOOKUP(A10,UNIDADES[UNIDADE],UNIDADES[AREA TERRACO])</f>
        <v>#N/A</v>
      </c>
      <c r="D10" s="1" t="e">
        <f>_xlfn.XLOOKUP(A10,UNIDADES[UNIDADE],UNIDADES[AREA CALCULO DE PRECO])</f>
        <v>#N/A</v>
      </c>
      <c r="E10" s="3">
        <v>837498.37600000447</v>
      </c>
    </row>
    <row r="11" spans="1:5" x14ac:dyDescent="0.4">
      <c r="A11" t="s">
        <v>128</v>
      </c>
      <c r="B11" s="2" t="e">
        <f>_xlfn.XLOOKUP(A11,UNIDADES[UNIDADE],UNIDADES[AREA PADRAO])</f>
        <v>#N/A</v>
      </c>
      <c r="C11" s="2" t="e">
        <f>_xlfn.XLOOKUP(A11,UNIDADES[UNIDADE],UNIDADES[AREA TERRACO])</f>
        <v>#N/A</v>
      </c>
      <c r="D11" s="1" t="e">
        <f>_xlfn.XLOOKUP(A11,UNIDADES[UNIDADE],UNIDADES[AREA CALCULO DE PRECO])</f>
        <v>#N/A</v>
      </c>
      <c r="E11" s="3">
        <v>940245.63733825134</v>
      </c>
    </row>
    <row r="12" spans="1:5" x14ac:dyDescent="0.4">
      <c r="A12" t="s">
        <v>129</v>
      </c>
      <c r="B12" s="2" t="e">
        <f>_xlfn.XLOOKUP(A12,UNIDADES[UNIDADE],UNIDADES[AREA PADRAO])</f>
        <v>#N/A</v>
      </c>
      <c r="C12" s="2" t="e">
        <f>_xlfn.XLOOKUP(A12,UNIDADES[UNIDADE],UNIDADES[AREA TERRACO])</f>
        <v>#N/A</v>
      </c>
      <c r="D12" s="1" t="e">
        <f>_xlfn.XLOOKUP(A12,UNIDADES[UNIDADE],UNIDADES[AREA CALCULO DE PRECO])</f>
        <v>#N/A</v>
      </c>
      <c r="E12" s="3">
        <v>616731.54400003527</v>
      </c>
    </row>
    <row r="13" spans="1:5" x14ac:dyDescent="0.4">
      <c r="A13" t="s">
        <v>130</v>
      </c>
      <c r="B13" s="2" t="e">
        <f>_xlfn.XLOOKUP(A13,UNIDADES[UNIDADE],UNIDADES[AREA PADRAO])</f>
        <v>#N/A</v>
      </c>
      <c r="C13" s="2" t="e">
        <f>_xlfn.XLOOKUP(A13,UNIDADES[UNIDADE],UNIDADES[AREA TERRACO])</f>
        <v>#N/A</v>
      </c>
      <c r="D13" s="1" t="e">
        <f>_xlfn.XLOOKUP(A13,UNIDADES[UNIDADE],UNIDADES[AREA CALCULO DE PRECO])</f>
        <v>#N/A</v>
      </c>
      <c r="E13" s="3">
        <v>848259.98401768506</v>
      </c>
    </row>
    <row r="14" spans="1:5" x14ac:dyDescent="0.4">
      <c r="A14" t="s">
        <v>131</v>
      </c>
      <c r="B14" s="2" t="e">
        <f>_xlfn.XLOOKUP(A14,UNIDADES[UNIDADE],UNIDADES[AREA PADRAO])</f>
        <v>#N/A</v>
      </c>
      <c r="C14" s="2" t="e">
        <f>_xlfn.XLOOKUP(A14,UNIDADES[UNIDADE],UNIDADES[AREA TERRACO])</f>
        <v>#N/A</v>
      </c>
      <c r="D14" s="1" t="e">
        <f>_xlfn.XLOOKUP(A14,UNIDADES[UNIDADE],UNIDADES[AREA CALCULO DE PRECO])</f>
        <v>#N/A</v>
      </c>
      <c r="E14" s="3">
        <v>1286259.398253374</v>
      </c>
    </row>
    <row r="15" spans="1:5" x14ac:dyDescent="0.4">
      <c r="A15" t="s">
        <v>132</v>
      </c>
      <c r="B15" s="2" t="e">
        <f>_xlfn.XLOOKUP(A15,UNIDADES[UNIDADE],UNIDADES[AREA PADRAO])</f>
        <v>#N/A</v>
      </c>
      <c r="C15" s="2" t="e">
        <f>_xlfn.XLOOKUP(A15,UNIDADES[UNIDADE],UNIDADES[AREA TERRACO])</f>
        <v>#N/A</v>
      </c>
      <c r="D15" s="1" t="e">
        <f>_xlfn.XLOOKUP(A15,UNIDADES[UNIDADE],UNIDADES[AREA CALCULO DE PRECO])</f>
        <v>#N/A</v>
      </c>
      <c r="E15" s="3">
        <v>1282576.0310853741</v>
      </c>
    </row>
    <row r="16" spans="1:5" x14ac:dyDescent="0.4">
      <c r="A16" t="s">
        <v>133</v>
      </c>
      <c r="B16" s="2" t="e">
        <f>_xlfn.XLOOKUP(A16,UNIDADES[UNIDADE],UNIDADES[AREA PADRAO])</f>
        <v>#N/A</v>
      </c>
      <c r="C16" s="2" t="e">
        <f>_xlfn.XLOOKUP(A16,UNIDADES[UNIDADE],UNIDADES[AREA TERRACO])</f>
        <v>#N/A</v>
      </c>
      <c r="D16" s="1" t="e">
        <f>_xlfn.XLOOKUP(A16,UNIDADES[UNIDADE],UNIDADES[AREA CALCULO DE PRECO])</f>
        <v>#N/A</v>
      </c>
      <c r="E16" s="3">
        <v>873660.07707379013</v>
      </c>
    </row>
    <row r="17" spans="1:5" x14ac:dyDescent="0.4">
      <c r="A17" t="s">
        <v>134</v>
      </c>
      <c r="B17" s="2" t="e">
        <f>_xlfn.XLOOKUP(A17,UNIDADES[UNIDADE],UNIDADES[AREA PADRAO])</f>
        <v>#N/A</v>
      </c>
      <c r="C17" s="2" t="e">
        <f>_xlfn.XLOOKUP(A17,UNIDADES[UNIDADE],UNIDADES[AREA TERRACO])</f>
        <v>#N/A</v>
      </c>
      <c r="D17" s="1" t="e">
        <f>_xlfn.XLOOKUP(A17,UNIDADES[UNIDADE],UNIDADES[AREA CALCULO DE PRECO])</f>
        <v>#N/A</v>
      </c>
      <c r="E17" s="3">
        <v>980394.06067200121</v>
      </c>
    </row>
    <row r="18" spans="1:5" x14ac:dyDescent="0.4">
      <c r="A18" t="s">
        <v>135</v>
      </c>
      <c r="B18" s="2" t="e">
        <f>_xlfn.XLOOKUP(A18,UNIDADES[UNIDADE],UNIDADES[AREA PADRAO])</f>
        <v>#N/A</v>
      </c>
      <c r="C18" s="2" t="e">
        <f>_xlfn.XLOOKUP(A18,UNIDADES[UNIDADE],UNIDADES[AREA TERRACO])</f>
        <v>#N/A</v>
      </c>
      <c r="D18" s="1" t="e">
        <f>_xlfn.XLOOKUP(A18,UNIDADES[UNIDADE],UNIDADES[AREA CALCULO DE PRECO])</f>
        <v>#N/A</v>
      </c>
      <c r="E18" s="3">
        <v>603637.82336002623</v>
      </c>
    </row>
    <row r="19" spans="1:5" x14ac:dyDescent="0.4">
      <c r="A19" t="s">
        <v>136</v>
      </c>
      <c r="B19" s="2" t="e">
        <f>_xlfn.XLOOKUP(A19,UNIDADES[UNIDADE],UNIDADES[AREA PADRAO])</f>
        <v>#N/A</v>
      </c>
      <c r="C19" s="2" t="e">
        <f>_xlfn.XLOOKUP(A19,UNIDADES[UNIDADE],UNIDADES[AREA TERRACO])</f>
        <v>#N/A</v>
      </c>
      <c r="D19" s="1" t="e">
        <f>_xlfn.XLOOKUP(A19,UNIDADES[UNIDADE],UNIDADES[AREA CALCULO DE PRECO])</f>
        <v>#N/A</v>
      </c>
      <c r="E19" s="3">
        <v>873020.01073839131</v>
      </c>
    </row>
    <row r="20" spans="1:5" x14ac:dyDescent="0.4">
      <c r="A20" t="s">
        <v>137</v>
      </c>
      <c r="B20" s="2" t="e">
        <f>_xlfn.XLOOKUP(A20,UNIDADES[UNIDADE],UNIDADES[AREA PADRAO])</f>
        <v>#N/A</v>
      </c>
      <c r="C20" s="2" t="e">
        <f>_xlfn.XLOOKUP(A20,UNIDADES[UNIDADE],UNIDADES[AREA TERRACO])</f>
        <v>#N/A</v>
      </c>
      <c r="D20" s="1" t="e">
        <f>_xlfn.XLOOKUP(A20,UNIDADES[UNIDADE],UNIDADES[AREA CALCULO DE PRECO])</f>
        <v>#N/A</v>
      </c>
      <c r="E20" s="3">
        <v>1327262.2468768153</v>
      </c>
    </row>
    <row r="21" spans="1:5" x14ac:dyDescent="0.4">
      <c r="A21" t="s">
        <v>138</v>
      </c>
      <c r="B21" s="2" t="e">
        <f>_xlfn.XLOOKUP(A21,UNIDADES[UNIDADE],UNIDADES[AREA PADRAO])</f>
        <v>#N/A</v>
      </c>
      <c r="C21" s="2" t="e">
        <f>_xlfn.XLOOKUP(A21,UNIDADES[UNIDADE],UNIDADES[AREA TERRACO])</f>
        <v>#N/A</v>
      </c>
      <c r="D21" s="1" t="e">
        <f>_xlfn.XLOOKUP(A21,UNIDADES[UNIDADE],UNIDADES[AREA CALCULO DE PRECO])</f>
        <v>#N/A</v>
      </c>
      <c r="E21" s="3">
        <v>1327262.2468768153</v>
      </c>
    </row>
    <row r="22" spans="1:5" x14ac:dyDescent="0.4">
      <c r="A22" t="s">
        <v>139</v>
      </c>
      <c r="B22" s="2" t="e">
        <f>_xlfn.XLOOKUP(A22,UNIDADES[UNIDADE],UNIDADES[AREA PADRAO])</f>
        <v>#N/A</v>
      </c>
      <c r="C22" s="2" t="e">
        <f>_xlfn.XLOOKUP(A22,UNIDADES[UNIDADE],UNIDADES[AREA TERRACO])</f>
        <v>#N/A</v>
      </c>
      <c r="D22" s="1" t="e">
        <f>_xlfn.XLOOKUP(A22,UNIDADES[UNIDADE],UNIDADES[AREA CALCULO DE PRECO])</f>
        <v>#N/A</v>
      </c>
      <c r="E22" s="3">
        <v>897128.26037120481</v>
      </c>
    </row>
    <row r="23" spans="1:5" x14ac:dyDescent="0.4">
      <c r="A23" t="s">
        <v>140</v>
      </c>
      <c r="B23" s="2" t="e">
        <f>_xlfn.XLOOKUP(A23,UNIDADES[UNIDADE],UNIDADES[AREA PADRAO])</f>
        <v>#N/A</v>
      </c>
      <c r="C23" s="2" t="e">
        <f>_xlfn.XLOOKUP(A23,UNIDADES[UNIDADE],UNIDADES[AREA TERRACO])</f>
        <v>#N/A</v>
      </c>
      <c r="D23" s="1" t="e">
        <f>_xlfn.XLOOKUP(A23,UNIDADES[UNIDADE],UNIDADES[AREA CALCULO DE PRECO])</f>
        <v>#N/A</v>
      </c>
      <c r="E23" s="3">
        <v>1007191.126716735</v>
      </c>
    </row>
    <row r="24" spans="1:5" x14ac:dyDescent="0.4">
      <c r="A24" t="s">
        <v>141</v>
      </c>
      <c r="B24" s="2" t="e">
        <f>_xlfn.XLOOKUP(A24,UNIDADES[UNIDADE],UNIDADES[AREA PADRAO])</f>
        <v>#N/A</v>
      </c>
      <c r="C24" s="2" t="e">
        <f>_xlfn.XLOOKUP(A24,UNIDADES[UNIDADE],UNIDADES[AREA TERRACO])</f>
        <v>#N/A</v>
      </c>
      <c r="D24" s="1" t="e">
        <f>_xlfn.XLOOKUP(A24,UNIDADES[UNIDADE],UNIDADES[AREA CALCULO DE PRECO])</f>
        <v>#N/A</v>
      </c>
      <c r="E24" s="3">
        <v>660642.82993283775</v>
      </c>
    </row>
    <row r="25" spans="1:5" x14ac:dyDescent="0.4">
      <c r="A25" t="s">
        <v>142</v>
      </c>
      <c r="B25" s="2" t="e">
        <f>_xlfn.XLOOKUP(A25,UNIDADES[UNIDADE],UNIDADES[AREA PADRAO])</f>
        <v>#N/A</v>
      </c>
      <c r="C25" s="2" t="e">
        <f>_xlfn.XLOOKUP(A25,UNIDADES[UNIDADE],UNIDADES[AREA TERRACO])</f>
        <v>#N/A</v>
      </c>
      <c r="D25" s="1" t="e">
        <f>_xlfn.XLOOKUP(A25,UNIDADES[UNIDADE],UNIDADES[AREA CALCULO DE PRECO])</f>
        <v>#N/A</v>
      </c>
      <c r="E25" s="3">
        <v>908656.09487974434</v>
      </c>
    </row>
    <row r="26" spans="1:5" x14ac:dyDescent="0.4">
      <c r="A26" t="s">
        <v>143</v>
      </c>
      <c r="B26" s="2" t="e">
        <f>_xlfn.XLOOKUP(A26,UNIDADES[UNIDADE],UNIDADES[AREA PADRAO])</f>
        <v>#N/A</v>
      </c>
      <c r="C26" s="2" t="e">
        <f>_xlfn.XLOOKUP(A26,UNIDADES[UNIDADE],UNIDADES[AREA TERRACO])</f>
        <v>#N/A</v>
      </c>
      <c r="D26" s="1" t="e">
        <f>_xlfn.XLOOKUP(A26,UNIDADES[UNIDADE],UNIDADES[AREA CALCULO DE PRECO])</f>
        <v>#N/A</v>
      </c>
      <c r="E26" s="3">
        <v>1351344.1238049946</v>
      </c>
    </row>
    <row r="27" spans="1:5" x14ac:dyDescent="0.4">
      <c r="A27" t="s">
        <v>144</v>
      </c>
      <c r="B27" s="2" t="e">
        <f>_xlfn.XLOOKUP(A27,UNIDADES[UNIDADE],UNIDADES[AREA PADRAO])</f>
        <v>#N/A</v>
      </c>
      <c r="C27" s="2" t="e">
        <f>_xlfn.XLOOKUP(A27,UNIDADES[UNIDADE],UNIDADES[AREA TERRACO])</f>
        <v>#N/A</v>
      </c>
      <c r="D27" s="1" t="e">
        <f>_xlfn.XLOOKUP(A27,UNIDADES[UNIDADE],UNIDADES[AREA CALCULO DE PRECO])</f>
        <v>#N/A</v>
      </c>
      <c r="E27" s="3">
        <v>1347474.378258294</v>
      </c>
    </row>
    <row r="28" spans="1:5" x14ac:dyDescent="0.4">
      <c r="A28" t="s">
        <v>145</v>
      </c>
      <c r="B28" s="2" t="e">
        <f>_xlfn.XLOOKUP(A28,UNIDADES[UNIDADE],UNIDADES[AREA PADRAO])</f>
        <v>#N/A</v>
      </c>
      <c r="C28" s="2" t="e">
        <f>_xlfn.XLOOKUP(A28,UNIDADES[UNIDADE],UNIDADES[AREA TERRACO])</f>
        <v>#N/A</v>
      </c>
      <c r="D28" s="1" t="e">
        <f>_xlfn.XLOOKUP(A28,UNIDADES[UNIDADE],UNIDADES[AREA CALCULO DE PRECO])</f>
        <v>#N/A</v>
      </c>
      <c r="E28" s="3">
        <v>917867.2769737239</v>
      </c>
    </row>
    <row r="29" spans="1:5" x14ac:dyDescent="0.4">
      <c r="A29" t="s">
        <v>146</v>
      </c>
      <c r="B29" s="2" t="e">
        <f>_xlfn.XLOOKUP(A29,UNIDADES[UNIDADE],UNIDADES[AREA PADRAO])</f>
        <v>#N/A</v>
      </c>
      <c r="C29" s="2" t="e">
        <f>_xlfn.XLOOKUP(A29,UNIDADES[UNIDADE],UNIDADES[AREA TERRACO])</f>
        <v>#N/A</v>
      </c>
      <c r="D29" s="1" t="e">
        <f>_xlfn.XLOOKUP(A29,UNIDADES[UNIDADE],UNIDADES[AREA CALCULO DE PRECO])</f>
        <v>#N/A</v>
      </c>
      <c r="E29" s="3">
        <v>1030002.0001420047</v>
      </c>
    </row>
    <row r="30" spans="1:5" x14ac:dyDescent="0.4">
      <c r="A30" t="s">
        <v>147</v>
      </c>
      <c r="B30" s="2" t="e">
        <f>_xlfn.XLOOKUP(A30,UNIDADES[UNIDADE],UNIDADES[AREA PADRAO])</f>
        <v>#N/A</v>
      </c>
      <c r="C30" s="2" t="e">
        <f>_xlfn.XLOOKUP(A30,UNIDADES[UNIDADE],UNIDADES[AREA TERRACO])</f>
        <v>#N/A</v>
      </c>
      <c r="D30" s="1" t="e">
        <f>_xlfn.XLOOKUP(A30,UNIDADES[UNIDADE],UNIDADES[AREA CALCULO DE PRECO])</f>
        <v>#N/A</v>
      </c>
      <c r="E30" s="3">
        <v>634181.8972220436</v>
      </c>
    </row>
    <row r="31" spans="1:5" x14ac:dyDescent="0.4">
      <c r="A31" t="s">
        <v>148</v>
      </c>
      <c r="B31" s="2" t="e">
        <f>_xlfn.XLOOKUP(A31,UNIDADES[UNIDADE],UNIDADES[AREA PADRAO])</f>
        <v>#N/A</v>
      </c>
      <c r="C31" s="2" t="e">
        <f>_xlfn.XLOOKUP(A31,UNIDADES[UNIDADE],UNIDADES[AREA TERRACO])</f>
        <v>#N/A</v>
      </c>
      <c r="D31" s="1" t="e">
        <f>_xlfn.XLOOKUP(A31,UNIDADES[UNIDADE],UNIDADES[AREA CALCULO DE PRECO])</f>
        <v>#N/A</v>
      </c>
      <c r="E31" s="3">
        <v>917194.82328175404</v>
      </c>
    </row>
    <row r="32" spans="1:5" x14ac:dyDescent="0.4">
      <c r="A32" t="s">
        <v>149</v>
      </c>
      <c r="B32" s="2" t="e">
        <f>_xlfn.XLOOKUP(A32,UNIDADES[UNIDADE],UNIDADES[AREA PADRAO])</f>
        <v>#N/A</v>
      </c>
      <c r="C32" s="2" t="e">
        <f>_xlfn.XLOOKUP(A32,UNIDADES[UNIDADE],UNIDADES[AREA TERRACO])</f>
        <v>#N/A</v>
      </c>
      <c r="D32" s="1" t="e">
        <f>_xlfn.XLOOKUP(A32,UNIDADES[UNIDADE],UNIDADES[AREA CALCULO DE PRECO])</f>
        <v>#N/A</v>
      </c>
      <c r="E32" s="3">
        <v>1380883.6416506385</v>
      </c>
    </row>
    <row r="33" spans="1:5" x14ac:dyDescent="0.4">
      <c r="A33" t="s">
        <v>150</v>
      </c>
      <c r="B33" s="2" t="e">
        <f>_xlfn.XLOOKUP(A33,UNIDADES[UNIDADE],UNIDADES[AREA PADRAO])</f>
        <v>#N/A</v>
      </c>
      <c r="C33" s="2" t="e">
        <f>_xlfn.XLOOKUP(A33,UNIDADES[UNIDADE],UNIDADES[AREA TERRACO])</f>
        <v>#N/A</v>
      </c>
      <c r="D33" s="1" t="e">
        <f>_xlfn.XLOOKUP(A33,UNIDADES[UNIDADE],UNIDADES[AREA CALCULO DE PRECO])</f>
        <v>#N/A</v>
      </c>
    </row>
    <row r="34" spans="1:5" x14ac:dyDescent="0.4">
      <c r="A34" t="s">
        <v>151</v>
      </c>
      <c r="B34" s="2" t="e">
        <f>_xlfn.XLOOKUP(A34,UNIDADES[UNIDADE],UNIDADES[AREA PADRAO])</f>
        <v>#N/A</v>
      </c>
      <c r="C34" s="2" t="e">
        <f>_xlfn.XLOOKUP(A34,UNIDADES[UNIDADE],UNIDADES[AREA TERRACO])</f>
        <v>#N/A</v>
      </c>
      <c r="D34" s="1" t="e">
        <f>_xlfn.XLOOKUP(A34,UNIDADES[UNIDADE],UNIDADES[AREA CALCULO DE PRECO])</f>
        <v>#N/A</v>
      </c>
    </row>
    <row r="35" spans="1:5" x14ac:dyDescent="0.4">
      <c r="A35" t="s">
        <v>152</v>
      </c>
      <c r="B35" s="2" t="e">
        <f>_xlfn.XLOOKUP(A35,UNIDADES[UNIDADE],UNIDADES[AREA PADRAO])</f>
        <v>#N/A</v>
      </c>
      <c r="C35" s="2" t="e">
        <f>_xlfn.XLOOKUP(A35,UNIDADES[UNIDADE],UNIDADES[AREA TERRACO])</f>
        <v>#N/A</v>
      </c>
      <c r="D35" s="1" t="e">
        <f>_xlfn.XLOOKUP(A35,UNIDADES[UNIDADE],UNIDADES[AREA CALCULO DE PRECO])</f>
        <v>#N/A</v>
      </c>
      <c r="E35" s="3">
        <v>1047881.6482360911</v>
      </c>
    </row>
    <row r="36" spans="1:5" x14ac:dyDescent="0.4">
      <c r="A36" t="s">
        <v>153</v>
      </c>
      <c r="B36" s="2" t="e">
        <f>_xlfn.XLOOKUP(A36,UNIDADES[UNIDADE],UNIDADES[AREA PADRAO])</f>
        <v>#N/A</v>
      </c>
      <c r="C36" s="2" t="e">
        <f>_xlfn.XLOOKUP(A36,UNIDADES[UNIDADE],UNIDADES[AREA TERRACO])</f>
        <v>#N/A</v>
      </c>
      <c r="D36" s="1" t="e">
        <f>_xlfn.XLOOKUP(A36,UNIDADES[UNIDADE],UNIDADES[AREA CALCULO DE PRECO])</f>
        <v>#N/A</v>
      </c>
      <c r="E36" s="3">
        <v>687332.80026212451</v>
      </c>
    </row>
    <row r="37" spans="1:5" x14ac:dyDescent="0.4">
      <c r="A37" t="s">
        <v>154</v>
      </c>
      <c r="B37" s="2" t="e">
        <f>_xlfn.XLOOKUP(A37,UNIDADES[UNIDADE],UNIDADES[AREA PADRAO])</f>
        <v>#N/A</v>
      </c>
      <c r="C37" s="2" t="e">
        <f>_xlfn.XLOOKUP(A37,UNIDADES[UNIDADE],UNIDADES[AREA TERRACO])</f>
        <v>#N/A</v>
      </c>
      <c r="D37" s="1" t="e">
        <f>_xlfn.XLOOKUP(A37,UNIDADES[UNIDADE],UNIDADES[AREA CALCULO DE PRECO])</f>
        <v>#N/A</v>
      </c>
      <c r="E37" s="3">
        <v>945365.80111288605</v>
      </c>
    </row>
    <row r="38" spans="1:5" x14ac:dyDescent="0.4">
      <c r="A38" t="s">
        <v>155</v>
      </c>
      <c r="B38" s="2" t="e">
        <f>_xlfn.XLOOKUP(A38,UNIDADES[UNIDADE],UNIDADES[AREA PADRAO])</f>
        <v>#N/A</v>
      </c>
      <c r="C38" s="2" t="e">
        <f>_xlfn.XLOOKUP(A38,UNIDADES[UNIDADE],UNIDADES[AREA TERRACO])</f>
        <v>#N/A</v>
      </c>
      <c r="D38" s="1" t="e">
        <f>_xlfn.XLOOKUP(A38,UNIDADES[UNIDADE],UNIDADES[AREA CALCULO DE PRECO])</f>
        <v>#N/A</v>
      </c>
      <c r="E38" s="3">
        <v>1405938.4264067167</v>
      </c>
    </row>
    <row r="39" spans="1:5" x14ac:dyDescent="0.4">
      <c r="A39" t="s">
        <v>156</v>
      </c>
      <c r="B39" s="2" t="e">
        <f>_xlfn.XLOOKUP(A39,UNIDADES[UNIDADE],UNIDADES[AREA PADRAO])</f>
        <v>#N/A</v>
      </c>
      <c r="C39" s="2" t="e">
        <f>_xlfn.XLOOKUP(A39,UNIDADES[UNIDADE],UNIDADES[AREA TERRACO])</f>
        <v>#N/A</v>
      </c>
      <c r="D39" s="1" t="e">
        <f>_xlfn.XLOOKUP(A39,UNIDADES[UNIDADE],UNIDADES[AREA CALCULO DE PRECO])</f>
        <v>#N/A</v>
      </c>
      <c r="E39" s="3">
        <v>1401373.3533886257</v>
      </c>
    </row>
    <row r="40" spans="1:5" x14ac:dyDescent="0.4">
      <c r="A40" t="s">
        <v>157</v>
      </c>
      <c r="B40" s="2" t="e">
        <f>_xlfn.XLOOKUP(A40,UNIDADES[UNIDADE],UNIDADES[AREA PADRAO])</f>
        <v>#N/A</v>
      </c>
      <c r="C40" s="2" t="e">
        <f>_xlfn.XLOOKUP(A40,UNIDADES[UNIDADE],UNIDADES[AREA TERRACO])</f>
        <v>#N/A</v>
      </c>
      <c r="D40" s="1" t="e">
        <f>_xlfn.XLOOKUP(A40,UNIDADES[UNIDADE],UNIDADES[AREA CALCULO DE PRECO])</f>
        <v>#N/A</v>
      </c>
      <c r="E40" s="3">
        <v>954581.96805267292</v>
      </c>
    </row>
    <row r="41" spans="1:5" x14ac:dyDescent="0.4">
      <c r="A41" t="s">
        <v>158</v>
      </c>
      <c r="B41" s="2" t="e">
        <f>_xlfn.XLOOKUP(A41,UNIDADES[UNIDADE],UNIDADES[AREA PADRAO])</f>
        <v>#N/A</v>
      </c>
      <c r="C41" s="2" t="e">
        <f>_xlfn.XLOOKUP(A41,UNIDADES[UNIDADE],UNIDADES[AREA TERRACO])</f>
        <v>#N/A</v>
      </c>
      <c r="D41" s="1" t="e">
        <f>_xlfn.XLOOKUP(A41,UNIDADES[UNIDADE],UNIDADES[AREA CALCULO DE PRECO])</f>
        <v>#N/A</v>
      </c>
      <c r="E41" s="3">
        <v>1071614.0809477416</v>
      </c>
    </row>
    <row r="42" spans="1:5" x14ac:dyDescent="0.4">
      <c r="A42" t="s">
        <v>159</v>
      </c>
      <c r="B42" s="2" t="e">
        <f>_xlfn.XLOOKUP(A42,UNIDADES[UNIDADE],UNIDADES[AREA PADRAO])</f>
        <v>#N/A</v>
      </c>
      <c r="C42" s="2" t="e">
        <f>_xlfn.XLOOKUP(A42,UNIDADES[UNIDADE],UNIDADES[AREA TERRACO])</f>
        <v>#N/A</v>
      </c>
      <c r="D42" s="1" t="e">
        <f>_xlfn.XLOOKUP(A42,UNIDADES[UNIDADE],UNIDADES[AREA CALCULO DE PRECO])</f>
        <v>#N/A</v>
      </c>
      <c r="E42" s="3">
        <v>659802.84586981416</v>
      </c>
    </row>
    <row r="43" spans="1:5" x14ac:dyDescent="0.4">
      <c r="A43" t="s">
        <v>160</v>
      </c>
      <c r="B43" s="2" t="e">
        <f>_xlfn.XLOOKUP(A43,UNIDADES[UNIDADE],UNIDADES[AREA PADRAO])</f>
        <v>#N/A</v>
      </c>
      <c r="C43" s="2" t="e">
        <f>_xlfn.XLOOKUP(A43,UNIDADES[UNIDADE],UNIDADES[AREA TERRACO])</f>
        <v>#N/A</v>
      </c>
      <c r="D43" s="1" t="e">
        <f>_xlfn.XLOOKUP(A43,UNIDADES[UNIDADE],UNIDADES[AREA CALCULO DE PRECO])</f>
        <v>#N/A</v>
      </c>
      <c r="E43" s="3">
        <v>954249.49414233689</v>
      </c>
    </row>
    <row r="44" spans="1:5" x14ac:dyDescent="0.4">
      <c r="A44" t="s">
        <v>161</v>
      </c>
      <c r="B44" s="2" t="e">
        <f>_xlfn.XLOOKUP(A44,UNIDADES[UNIDADE],UNIDADES[AREA PADRAO])</f>
        <v>#N/A</v>
      </c>
      <c r="C44" s="2" t="e">
        <f>_xlfn.XLOOKUP(A44,UNIDADES[UNIDADE],UNIDADES[AREA TERRACO])</f>
        <v>#N/A</v>
      </c>
      <c r="D44" s="1" t="e">
        <f>_xlfn.XLOOKUP(A44,UNIDADES[UNIDADE],UNIDADES[AREA CALCULO DE PRECO])</f>
        <v>#N/A</v>
      </c>
      <c r="E44" s="3">
        <v>1436671.3407733245</v>
      </c>
    </row>
    <row r="45" spans="1:5" x14ac:dyDescent="0.4">
      <c r="A45" t="s">
        <v>162</v>
      </c>
      <c r="B45" s="2" t="e">
        <f>_xlfn.XLOOKUP(A45,UNIDADES[UNIDADE],UNIDADES[AREA PADRAO])</f>
        <v>#N/A</v>
      </c>
      <c r="C45" s="2" t="e">
        <f>_xlfn.XLOOKUP(A45,UNIDADES[UNIDADE],UNIDADES[AREA TERRACO])</f>
        <v>#N/A</v>
      </c>
      <c r="D45" s="1" t="e">
        <f>_xlfn.XLOOKUP(A45,UNIDADES[UNIDADE],UNIDADES[AREA CALCULO DE PRECO])</f>
        <v>#N/A</v>
      </c>
      <c r="E45" s="3">
        <v>1436118.9873166641</v>
      </c>
    </row>
    <row r="46" spans="1:5" x14ac:dyDescent="0.4">
      <c r="A46" t="s">
        <v>163</v>
      </c>
      <c r="B46" s="2" t="e">
        <f>_xlfn.XLOOKUP(A46,UNIDADES[UNIDADE],UNIDADES[AREA PADRAO])</f>
        <v>#N/A</v>
      </c>
      <c r="C46" s="2" t="e">
        <f>_xlfn.XLOOKUP(A46,UNIDADES[UNIDADE],UNIDADES[AREA TERRACO])</f>
        <v>#N/A</v>
      </c>
      <c r="D46" s="1" t="e">
        <f>_xlfn.XLOOKUP(A46,UNIDADES[UNIDADE],UNIDADES[AREA CALCULO DE PRECO])</f>
        <v>#N/A</v>
      </c>
      <c r="E46" s="3">
        <v>970707.13177380967</v>
      </c>
    </row>
    <row r="47" spans="1:5" x14ac:dyDescent="0.4">
      <c r="A47" t="s">
        <v>164</v>
      </c>
      <c r="B47" s="2" t="e">
        <f>_xlfn.XLOOKUP(A47,UNIDADES[UNIDADE],UNIDADES[AREA PADRAO])</f>
        <v>#N/A</v>
      </c>
      <c r="C47" s="2" t="e">
        <f>_xlfn.XLOOKUP(A47,UNIDADES[UNIDADE],UNIDADES[AREA TERRACO])</f>
        <v>#N/A</v>
      </c>
      <c r="D47" s="1" t="e">
        <f>_xlfn.XLOOKUP(A47,UNIDADES[UNIDADE],UNIDADES[AREA CALCULO DE PRECO])</f>
        <v>#N/A</v>
      </c>
      <c r="E47" s="3">
        <v>1090216.0668248292</v>
      </c>
    </row>
    <row r="48" spans="1:5" x14ac:dyDescent="0.4">
      <c r="A48" t="s">
        <v>165</v>
      </c>
      <c r="B48" s="2" t="e">
        <f>_xlfn.XLOOKUP(A48,UNIDADES[UNIDADE],UNIDADES[AREA PADRAO])</f>
        <v>#N/A</v>
      </c>
      <c r="C48" s="2" t="e">
        <f>_xlfn.XLOOKUP(A48,UNIDADES[UNIDADE],UNIDADES[AREA TERRACO])</f>
        <v>#N/A</v>
      </c>
      <c r="D48" s="1" t="e">
        <f>_xlfn.XLOOKUP(A48,UNIDADES[UNIDADE],UNIDADES[AREA CALCULO DE PRECO])</f>
        <v>#N/A</v>
      </c>
      <c r="E48" s="3">
        <v>715101.04539271432</v>
      </c>
    </row>
    <row r="49" spans="1:5" x14ac:dyDescent="0.4">
      <c r="A49" t="s">
        <v>166</v>
      </c>
      <c r="B49" s="2" t="e">
        <f>_xlfn.XLOOKUP(A49,UNIDADES[UNIDADE],UNIDADES[AREA PADRAO])</f>
        <v>#N/A</v>
      </c>
      <c r="C49" s="2" t="e">
        <f>_xlfn.XLOOKUP(A49,UNIDADES[UNIDADE],UNIDADES[AREA TERRACO])</f>
        <v>#N/A</v>
      </c>
      <c r="D49" s="1" t="e">
        <f>_xlfn.XLOOKUP(A49,UNIDADES[UNIDADE],UNIDADES[AREA CALCULO DE PRECO])</f>
        <v>#N/A</v>
      </c>
      <c r="E49" s="3">
        <v>983558.57947784662</v>
      </c>
    </row>
    <row r="50" spans="1:5" x14ac:dyDescent="0.4">
      <c r="A50" t="s">
        <v>167</v>
      </c>
      <c r="B50" s="2" t="e">
        <f>_xlfn.XLOOKUP(A50,UNIDADES[UNIDADE],UNIDADES[AREA PADRAO])</f>
        <v>#N/A</v>
      </c>
      <c r="C50" s="2" t="e">
        <f>_xlfn.XLOOKUP(A50,UNIDADES[UNIDADE],UNIDADES[AREA TERRACO])</f>
        <v>#N/A</v>
      </c>
      <c r="D50" s="1" t="e">
        <f>_xlfn.XLOOKUP(A50,UNIDADES[UNIDADE],UNIDADES[AREA CALCULO DE PRECO])</f>
        <v>#N/A</v>
      </c>
      <c r="E50" s="3">
        <v>1462738.3388335481</v>
      </c>
    </row>
    <row r="51" spans="1:5" x14ac:dyDescent="0.4">
      <c r="A51" t="s">
        <v>168</v>
      </c>
      <c r="B51" s="2" t="e">
        <f>_xlfn.XLOOKUP(A51,UNIDADES[UNIDADE],UNIDADES[AREA PADRAO])</f>
        <v>#N/A</v>
      </c>
      <c r="C51" s="2" t="e">
        <f>_xlfn.XLOOKUP(A51,UNIDADES[UNIDADE],UNIDADES[AREA TERRACO])</f>
        <v>#N/A</v>
      </c>
      <c r="D51" s="1" t="e">
        <f>_xlfn.XLOOKUP(A51,UNIDADES[UNIDADE],UNIDADES[AREA CALCULO DE PRECO])</f>
        <v>#N/A</v>
      </c>
      <c r="E51" s="3">
        <v>1457988.8368655264</v>
      </c>
    </row>
    <row r="52" spans="1:5" x14ac:dyDescent="0.4">
      <c r="A52" t="s">
        <v>169</v>
      </c>
      <c r="B52" s="2" t="e">
        <f>_xlfn.XLOOKUP(A52,UNIDADES[UNIDADE],UNIDADES[AREA PADRAO])</f>
        <v>#N/A</v>
      </c>
      <c r="C52" s="2" t="e">
        <f>_xlfn.XLOOKUP(A52,UNIDADES[UNIDADE],UNIDADES[AREA TERRACO])</f>
        <v>#N/A</v>
      </c>
      <c r="D52" s="1" t="e">
        <f>_xlfn.XLOOKUP(A52,UNIDADES[UNIDADE],UNIDADES[AREA CALCULO DE PRECO])</f>
        <v>#N/A</v>
      </c>
      <c r="E52" s="3">
        <v>993147.07956200093</v>
      </c>
    </row>
    <row r="53" spans="1:5" x14ac:dyDescent="0.4">
      <c r="A53" t="s">
        <v>170</v>
      </c>
      <c r="B53" s="2" t="e">
        <f>_xlfn.XLOOKUP(A53,UNIDADES[UNIDADE],UNIDADES[AREA PADRAO])</f>
        <v>#N/A</v>
      </c>
      <c r="C53" s="2" t="e">
        <f>_xlfn.XLOOKUP(A53,UNIDADES[UNIDADE],UNIDADES[AREA TERRACO])</f>
        <v>#N/A</v>
      </c>
      <c r="D53" s="1" t="e">
        <f>_xlfn.XLOOKUP(A53,UNIDADES[UNIDADE],UNIDADES[AREA CALCULO DE PRECO])</f>
        <v>#N/A</v>
      </c>
      <c r="E53" s="3">
        <v>1114907.2898180303</v>
      </c>
    </row>
    <row r="54" spans="1:5" x14ac:dyDescent="0.4">
      <c r="A54" t="s">
        <v>171</v>
      </c>
      <c r="B54" s="2" t="e">
        <f>_xlfn.XLOOKUP(A54,UNIDADES[UNIDADE],UNIDADES[AREA PADRAO])</f>
        <v>#N/A</v>
      </c>
      <c r="C54" s="2" t="e">
        <f>_xlfn.XLOOKUP(A54,UNIDADES[UNIDADE],UNIDADES[AREA TERRACO])</f>
        <v>#N/A</v>
      </c>
      <c r="D54" s="1" t="e">
        <f>_xlfn.XLOOKUP(A54,UNIDADES[UNIDADE],UNIDADES[AREA CALCULO DE PRECO])</f>
        <v>#N/A</v>
      </c>
      <c r="E54" s="3">
        <v>686458.88084295474</v>
      </c>
    </row>
    <row r="55" spans="1:5" x14ac:dyDescent="0.4">
      <c r="A55" t="s">
        <v>172</v>
      </c>
      <c r="B55" s="2" t="e">
        <f>_xlfn.XLOOKUP(A55,UNIDADES[UNIDADE],UNIDADES[AREA PADRAO])</f>
        <v>#N/A</v>
      </c>
      <c r="C55" s="2" t="e">
        <f>_xlfn.XLOOKUP(A55,UNIDADES[UNIDADE],UNIDADES[AREA TERRACO])</f>
        <v>#N/A</v>
      </c>
      <c r="D55" s="1" t="e">
        <f>_xlfn.XLOOKUP(A55,UNIDADES[UNIDADE],UNIDADES[AREA CALCULO DE PRECO])</f>
        <v>#N/A</v>
      </c>
      <c r="E55" s="3">
        <v>992801.17370568728</v>
      </c>
    </row>
    <row r="56" spans="1:5" x14ac:dyDescent="0.4">
      <c r="A56" t="s">
        <v>173</v>
      </c>
      <c r="B56" s="2" t="e">
        <f>_xlfn.XLOOKUP(A56,UNIDADES[UNIDADE],UNIDADES[AREA PADRAO])</f>
        <v>#N/A</v>
      </c>
      <c r="C56" s="2" t="e">
        <f>_xlfn.XLOOKUP(A56,UNIDADES[UNIDADE],UNIDADES[AREA TERRACO])</f>
        <v>#N/A</v>
      </c>
      <c r="D56" s="1" t="e">
        <f>_xlfn.XLOOKUP(A56,UNIDADES[UNIDADE],UNIDADES[AREA CALCULO DE PRECO])</f>
        <v>#N/A</v>
      </c>
      <c r="E56" s="3">
        <v>1494712.8629405668</v>
      </c>
    </row>
    <row r="57" spans="1:5" x14ac:dyDescent="0.4">
      <c r="A57" t="s">
        <v>174</v>
      </c>
      <c r="B57" s="2" t="e">
        <f>_xlfn.XLOOKUP(A57,UNIDADES[UNIDADE],UNIDADES[AREA PADRAO])</f>
        <v>#N/A</v>
      </c>
      <c r="C57" s="2" t="e">
        <f>_xlfn.XLOOKUP(A57,UNIDADES[UNIDADE],UNIDADES[AREA TERRACO])</f>
        <v>#N/A</v>
      </c>
      <c r="D57" s="1" t="e">
        <f>_xlfn.XLOOKUP(A57,UNIDADES[UNIDADE],UNIDADES[AREA CALCULO DE PRECO])</f>
        <v>#N/A</v>
      </c>
      <c r="E57" s="3">
        <v>1494138.1944042575</v>
      </c>
    </row>
    <row r="58" spans="1:5" x14ac:dyDescent="0.4">
      <c r="A58" t="s">
        <v>175</v>
      </c>
      <c r="B58" s="2" t="e">
        <f>_xlfn.XLOOKUP(A58,UNIDADES[UNIDADE],UNIDADES[AREA PADRAO])</f>
        <v>#N/A</v>
      </c>
      <c r="C58" s="2" t="e">
        <f>_xlfn.XLOOKUP(A58,UNIDADES[UNIDADE],UNIDADES[AREA TERRACO])</f>
        <v>#N/A</v>
      </c>
      <c r="D58" s="1" t="e">
        <f>_xlfn.XLOOKUP(A58,UNIDADES[UNIDADE],UNIDADES[AREA CALCULO DE PRECO])</f>
        <v>#N/A</v>
      </c>
      <c r="E58" s="3">
        <v>1009923.6998974717</v>
      </c>
    </row>
    <row r="59" spans="1:5" x14ac:dyDescent="0.4">
      <c r="A59" t="s">
        <v>176</v>
      </c>
      <c r="B59" s="2" t="e">
        <f>_xlfn.XLOOKUP(A59,UNIDADES[UNIDADE],UNIDADES[AREA PADRAO])</f>
        <v>#N/A</v>
      </c>
      <c r="C59" s="2" t="e">
        <f>_xlfn.XLOOKUP(A59,UNIDADES[UNIDADE],UNIDADES[AREA TERRACO])</f>
        <v>#N/A</v>
      </c>
      <c r="D59" s="1" t="e">
        <f>_xlfn.XLOOKUP(A59,UNIDADES[UNIDADE],UNIDADES[AREA CALCULO DE PRECO])</f>
        <v>#N/A</v>
      </c>
      <c r="E59" s="3">
        <v>1134260.7959245523</v>
      </c>
    </row>
    <row r="60" spans="1:5" x14ac:dyDescent="0.4">
      <c r="A60" t="s">
        <v>177</v>
      </c>
      <c r="B60" s="2" t="e">
        <f>_xlfn.XLOOKUP(A60,UNIDADES[UNIDADE],UNIDADES[AREA PADRAO])</f>
        <v>#N/A</v>
      </c>
      <c r="C60" s="2" t="e">
        <f>_xlfn.XLOOKUP(A60,UNIDADES[UNIDADE],UNIDADES[AREA TERRACO])</f>
        <v>#N/A</v>
      </c>
      <c r="D60" s="1" t="e">
        <f>_xlfn.XLOOKUP(A60,UNIDADES[UNIDADE],UNIDADES[AREA CALCULO DE PRECO])</f>
        <v>#N/A</v>
      </c>
      <c r="E60" s="3">
        <v>743991.12762658007</v>
      </c>
    </row>
    <row r="61" spans="1:5" x14ac:dyDescent="0.4">
      <c r="A61" t="s">
        <v>178</v>
      </c>
      <c r="B61" s="2" t="e">
        <f>_xlfn.XLOOKUP(A61,UNIDADES[UNIDADE],UNIDADES[AREA PADRAO])</f>
        <v>#N/A</v>
      </c>
      <c r="C61" s="2" t="e">
        <f>_xlfn.XLOOKUP(A61,UNIDADES[UNIDADE],UNIDADES[AREA TERRACO])</f>
        <v>#N/A</v>
      </c>
      <c r="D61" s="1" t="e">
        <f>_xlfn.XLOOKUP(A61,UNIDADES[UNIDADE],UNIDADES[AREA CALCULO DE PRECO])</f>
        <v>#N/A</v>
      </c>
      <c r="E61" s="3">
        <v>1023294.3460887517</v>
      </c>
    </row>
    <row r="62" spans="1:5" x14ac:dyDescent="0.4">
      <c r="A62" t="s">
        <v>179</v>
      </c>
      <c r="B62" s="2" t="e">
        <f>_xlfn.XLOOKUP(A62,UNIDADES[UNIDADE],UNIDADES[AREA PADRAO])</f>
        <v>#N/A</v>
      </c>
      <c r="C62" s="2" t="e">
        <f>_xlfn.XLOOKUP(A62,UNIDADES[UNIDADE],UNIDADES[AREA TERRACO])</f>
        <v>#N/A</v>
      </c>
      <c r="D62" s="1" t="e">
        <f>_xlfn.XLOOKUP(A62,UNIDADES[UNIDADE],UNIDADES[AREA CALCULO DE PRECO])</f>
        <v>#N/A</v>
      </c>
      <c r="E62" s="3">
        <v>1521832.9677224234</v>
      </c>
    </row>
    <row r="63" spans="1:5" x14ac:dyDescent="0.4">
      <c r="A63" t="s">
        <v>180</v>
      </c>
      <c r="B63" s="2" t="e">
        <f>_xlfn.XLOOKUP(A63,UNIDADES[UNIDADE],UNIDADES[AREA PADRAO])</f>
        <v>#N/A</v>
      </c>
      <c r="C63" s="2" t="e">
        <f>_xlfn.XLOOKUP(A63,UNIDADES[UNIDADE],UNIDADES[AREA TERRACO])</f>
        <v>#N/A</v>
      </c>
      <c r="D63" s="1" t="e">
        <f>_xlfn.XLOOKUP(A63,UNIDADES[UNIDADE],UNIDADES[AREA CALCULO DE PRECO])</f>
        <v>#N/A</v>
      </c>
      <c r="E63" s="3">
        <v>1507494.5093782831</v>
      </c>
    </row>
    <row r="64" spans="1:5" x14ac:dyDescent="0.4">
      <c r="A64" t="s">
        <v>181</v>
      </c>
      <c r="B64" s="2" t="e">
        <f>_xlfn.XLOOKUP(A64,UNIDADES[UNIDADE],UNIDADES[AREA PADRAO])</f>
        <v>#N/A</v>
      </c>
      <c r="C64" s="2" t="e">
        <f>_xlfn.XLOOKUP(A64,UNIDADES[UNIDADE],UNIDADES[AREA TERRACO])</f>
        <v>#N/A</v>
      </c>
      <c r="D64" s="1" t="e">
        <f>_xlfn.XLOOKUP(A64,UNIDADES[UNIDADE],UNIDADES[AREA CALCULO DE PRECO])</f>
        <v>#N/A</v>
      </c>
      <c r="E64" s="3">
        <v>1033270.2215763059</v>
      </c>
    </row>
    <row r="65" spans="1:5" x14ac:dyDescent="0.4">
      <c r="A65" t="s">
        <v>182</v>
      </c>
      <c r="B65" s="2" t="e">
        <f>_xlfn.XLOOKUP(A65,UNIDADES[UNIDADE],UNIDADES[AREA PADRAO])</f>
        <v>#N/A</v>
      </c>
      <c r="C65" s="2" t="e">
        <f>_xlfn.XLOOKUP(A65,UNIDADES[UNIDADE],UNIDADES[AREA TERRACO])</f>
        <v>#N/A</v>
      </c>
      <c r="D65" s="1" t="e">
        <f>_xlfn.XLOOKUP(A65,UNIDADES[UNIDADE],UNIDADES[AREA CALCULO DE PRECO])</f>
        <v>#N/A</v>
      </c>
      <c r="E65" s="3">
        <v>1159949.5443266788</v>
      </c>
    </row>
    <row r="66" spans="1:5" x14ac:dyDescent="0.4">
      <c r="A66" t="s">
        <v>183</v>
      </c>
      <c r="B66" s="2" t="e">
        <f>_xlfn.XLOOKUP(A66,UNIDADES[UNIDADE],UNIDADES[AREA PADRAO])</f>
        <v>#N/A</v>
      </c>
      <c r="C66" s="2" t="e">
        <f>_xlfn.XLOOKUP(A66,UNIDADES[UNIDADE],UNIDADES[AREA TERRACO])</f>
        <v>#N/A</v>
      </c>
      <c r="D66" s="1" t="e">
        <f>_xlfn.XLOOKUP(A66,UNIDADES[UNIDADE],UNIDADES[AREA CALCULO DE PRECO])</f>
        <v>#N/A</v>
      </c>
      <c r="E66" s="3">
        <v>714191.81962901016</v>
      </c>
    </row>
    <row r="67" spans="1:5" x14ac:dyDescent="0.4">
      <c r="A67" t="s">
        <v>184</v>
      </c>
      <c r="B67" s="2" t="e">
        <f>_xlfn.XLOOKUP(A67,UNIDADES[UNIDADE],UNIDADES[AREA PADRAO])</f>
        <v>#N/A</v>
      </c>
      <c r="C67" s="2" t="e">
        <f>_xlfn.XLOOKUP(A67,UNIDADES[UNIDADE],UNIDADES[AREA TERRACO])</f>
        <v>#N/A</v>
      </c>
      <c r="D67" s="1" t="e">
        <f>_xlfn.XLOOKUP(A67,UNIDADES[UNIDADE],UNIDADES[AREA CALCULO DE PRECO])</f>
        <v>#N/A</v>
      </c>
      <c r="E67" s="3">
        <v>1032910.3411233972</v>
      </c>
    </row>
    <row r="68" spans="1:5" x14ac:dyDescent="0.4">
      <c r="A68" t="s">
        <v>11</v>
      </c>
      <c r="B68" s="2" t="e">
        <f>_xlfn.XLOOKUP(A68,UNIDADES[UNIDADE],UNIDADES[AREA PADRAO])</f>
        <v>#N/A</v>
      </c>
      <c r="C68" s="2" t="e">
        <f>_xlfn.XLOOKUP(A68,UNIDADES[UNIDADE],UNIDADES[AREA TERRACO])</f>
        <v>#N/A</v>
      </c>
      <c r="D68" s="1" t="e">
        <f>_xlfn.XLOOKUP(A68,UNIDADES[UNIDADE],UNIDADES[AREA CALCULO DE PRECO])</f>
        <v>#N/A</v>
      </c>
      <c r="E68" s="3">
        <v>1176262.5331198501</v>
      </c>
    </row>
    <row r="69" spans="1:5" x14ac:dyDescent="0.4">
      <c r="A69" t="s">
        <v>13</v>
      </c>
      <c r="B69" s="2" t="e">
        <f>_xlfn.XLOOKUP(A69,UNIDADES[UNIDADE],UNIDADES[AREA PADRAO])</f>
        <v>#N/A</v>
      </c>
      <c r="C69" s="2" t="e">
        <f>_xlfn.XLOOKUP(A69,UNIDADES[UNIDADE],UNIDADES[AREA TERRACO])</f>
        <v>#N/A</v>
      </c>
      <c r="D69" s="1" t="e">
        <f>_xlfn.XLOOKUP(A69,UNIDADES[UNIDADE],UNIDADES[AREA CALCULO DE PRECO])</f>
        <v>#N/A</v>
      </c>
      <c r="E69" s="3">
        <v>1199930.5646535088</v>
      </c>
    </row>
    <row r="70" spans="1:5" x14ac:dyDescent="0.4">
      <c r="A70" t="s">
        <v>14</v>
      </c>
      <c r="B70" s="2" t="e">
        <f>_xlfn.XLOOKUP(A70,UNIDADES[UNIDADE],UNIDADES[AREA PADRAO])</f>
        <v>#N/A</v>
      </c>
      <c r="C70" s="2" t="e">
        <f>_xlfn.XLOOKUP(A70,UNIDADES[UNIDADE],UNIDADES[AREA TERRACO])</f>
        <v>#N/A</v>
      </c>
      <c r="D70" s="1" t="e">
        <f>_xlfn.XLOOKUP(A70,UNIDADES[UNIDADE],UNIDADES[AREA CALCULO DE PRECO])</f>
        <v>#N/A</v>
      </c>
      <c r="E70" s="3">
        <v>1023385</v>
      </c>
    </row>
    <row r="71" spans="1:5" x14ac:dyDescent="0.4">
      <c r="A71" t="s">
        <v>15</v>
      </c>
      <c r="B71" s="2" t="e">
        <f>_xlfn.XLOOKUP(A71,UNIDADES[UNIDADE],UNIDADES[AREA PADRAO])</f>
        <v>#N/A</v>
      </c>
      <c r="C71" s="2" t="e">
        <f>_xlfn.XLOOKUP(A71,UNIDADES[UNIDADE],UNIDADES[AREA TERRACO])</f>
        <v>#N/A</v>
      </c>
      <c r="D71" s="1" t="e">
        <f>_xlfn.XLOOKUP(A71,UNIDADES[UNIDADE],UNIDADES[AREA CALCULO DE PRECO])</f>
        <v>#N/A</v>
      </c>
      <c r="E71" s="3">
        <v>759000</v>
      </c>
    </row>
    <row r="72" spans="1:5" x14ac:dyDescent="0.4">
      <c r="A72" t="s">
        <v>16</v>
      </c>
      <c r="B72" s="2" t="e">
        <f>_xlfn.XLOOKUP(A72,UNIDADES[UNIDADE],UNIDADES[AREA PADRAO])</f>
        <v>#N/A</v>
      </c>
      <c r="C72" s="2" t="e">
        <f>_xlfn.XLOOKUP(A72,UNIDADES[UNIDADE],UNIDADES[AREA TERRACO])</f>
        <v>#N/A</v>
      </c>
      <c r="D72" s="1" t="e">
        <f>_xlfn.XLOOKUP(A72,UNIDADES[UNIDADE],UNIDADES[AREA CALCULO DE PRECO])</f>
        <v>#N/A</v>
      </c>
      <c r="E72" s="3">
        <v>666411.76</v>
      </c>
    </row>
    <row r="73" spans="1:5" x14ac:dyDescent="0.4">
      <c r="A73" t="s">
        <v>17</v>
      </c>
      <c r="B73" s="2" t="e">
        <f>_xlfn.XLOOKUP(A73,UNIDADES[UNIDADE],UNIDADES[AREA PADRAO])</f>
        <v>#N/A</v>
      </c>
      <c r="C73" s="2" t="e">
        <f>_xlfn.XLOOKUP(A73,UNIDADES[UNIDADE],UNIDADES[AREA TERRACO])</f>
        <v>#N/A</v>
      </c>
      <c r="D73" s="1" t="e">
        <f>_xlfn.XLOOKUP(A73,UNIDADES[UNIDADE],UNIDADES[AREA CALCULO DE PRECO])</f>
        <v>#N/A</v>
      </c>
      <c r="E73" s="3">
        <v>955076.99999999988</v>
      </c>
    </row>
    <row r="74" spans="1:5" x14ac:dyDescent="0.4">
      <c r="A74" t="s">
        <v>18</v>
      </c>
      <c r="B74" s="2" t="e">
        <f>_xlfn.XLOOKUP(A74,UNIDADES[UNIDADE],UNIDADES[AREA PADRAO])</f>
        <v>#N/A</v>
      </c>
      <c r="C74" s="2" t="e">
        <f>_xlfn.XLOOKUP(A74,UNIDADES[UNIDADE],UNIDADES[AREA TERRACO])</f>
        <v>#N/A</v>
      </c>
      <c r="D74" s="1" t="e">
        <f>_xlfn.XLOOKUP(A74,UNIDADES[UNIDADE],UNIDADES[AREA CALCULO DE PRECO])</f>
        <v>#N/A</v>
      </c>
      <c r="E74" s="3">
        <v>604594.20001998881</v>
      </c>
    </row>
    <row r="75" spans="1:5" x14ac:dyDescent="0.4">
      <c r="A75" t="s">
        <v>19</v>
      </c>
      <c r="B75" s="2" t="e">
        <f>_xlfn.XLOOKUP(A75,UNIDADES[UNIDADE],UNIDADES[AREA PADRAO])</f>
        <v>#N/A</v>
      </c>
      <c r="C75" s="2" t="e">
        <f>_xlfn.XLOOKUP(A75,UNIDADES[UNIDADE],UNIDADES[AREA TERRACO])</f>
        <v>#N/A</v>
      </c>
      <c r="D75" s="1" t="e">
        <f>_xlfn.XLOOKUP(A75,UNIDADES[UNIDADE],UNIDADES[AREA CALCULO DE PRECO])</f>
        <v>#N/A</v>
      </c>
      <c r="E75" s="3">
        <v>1232817.3864750059</v>
      </c>
    </row>
    <row r="76" spans="1:5" x14ac:dyDescent="0.4">
      <c r="A76" t="s">
        <v>21</v>
      </c>
      <c r="B76" s="2" t="e">
        <f>_xlfn.XLOOKUP(A76,UNIDADES[UNIDADE],UNIDADES[AREA PADRAO])</f>
        <v>#N/A</v>
      </c>
      <c r="C76" s="2" t="e">
        <f>_xlfn.XLOOKUP(A76,UNIDADES[UNIDADE],UNIDADES[AREA TERRACO])</f>
        <v>#N/A</v>
      </c>
      <c r="D76" s="1" t="e">
        <f>_xlfn.XLOOKUP(A76,UNIDADES[UNIDADE],UNIDADES[AREA CALCULO DE PRECO])</f>
        <v>#N/A</v>
      </c>
      <c r="E76" s="3">
        <v>1250217.7840239941</v>
      </c>
    </row>
    <row r="77" spans="1:5" x14ac:dyDescent="0.4">
      <c r="A77" t="s">
        <v>22</v>
      </c>
      <c r="B77" s="2" t="e">
        <f>_xlfn.XLOOKUP(A77,UNIDADES[UNIDADE],UNIDADES[AREA PADRAO])</f>
        <v>#N/A</v>
      </c>
      <c r="C77" s="2" t="e">
        <f>_xlfn.XLOOKUP(A77,UNIDADES[UNIDADE],UNIDADES[AREA TERRACO])</f>
        <v>#N/A</v>
      </c>
      <c r="D77" s="1" t="e">
        <f>_xlfn.XLOOKUP(A77,UNIDADES[UNIDADE],UNIDADES[AREA CALCULO DE PRECO])</f>
        <v>#N/A</v>
      </c>
      <c r="E77" s="3">
        <v>873865.44985879271</v>
      </c>
    </row>
    <row r="78" spans="1:5" x14ac:dyDescent="0.4">
      <c r="A78" t="s">
        <v>23</v>
      </c>
      <c r="B78" s="2" t="e">
        <f>_xlfn.XLOOKUP(A78,UNIDADES[UNIDADE],UNIDADES[AREA PADRAO])</f>
        <v>#N/A</v>
      </c>
      <c r="C78" s="2" t="e">
        <f>_xlfn.XLOOKUP(A78,UNIDADES[UNIDADE],UNIDADES[AREA TERRACO])</f>
        <v>#N/A</v>
      </c>
      <c r="D78" s="1" t="e">
        <f>_xlfn.XLOOKUP(A78,UNIDADES[UNIDADE],UNIDADES[AREA CALCULO DE PRECO])</f>
        <v>#N/A</v>
      </c>
      <c r="E78" s="3">
        <v>649583.47997724009</v>
      </c>
    </row>
    <row r="79" spans="1:5" x14ac:dyDescent="0.4">
      <c r="A79" t="s">
        <v>24</v>
      </c>
      <c r="B79" s="2" t="e">
        <f>_xlfn.XLOOKUP(A79,UNIDADES[UNIDADE],UNIDADES[AREA PADRAO])</f>
        <v>#N/A</v>
      </c>
      <c r="C79" s="2" t="e">
        <f>_xlfn.XLOOKUP(A79,UNIDADES[UNIDADE],UNIDADES[AREA TERRACO])</f>
        <v>#N/A</v>
      </c>
      <c r="D79" s="1" t="e">
        <f>_xlfn.XLOOKUP(A79,UNIDADES[UNIDADE],UNIDADES[AREA CALCULO DE PRECO])</f>
        <v>#N/A</v>
      </c>
      <c r="E79" s="3">
        <v>693067.50460943102</v>
      </c>
    </row>
    <row r="80" spans="1:5" x14ac:dyDescent="0.4">
      <c r="A80" t="s">
        <v>25</v>
      </c>
      <c r="B80" s="2" t="e">
        <f>_xlfn.XLOOKUP(A80,UNIDADES[UNIDADE],UNIDADES[AREA PADRAO])</f>
        <v>#N/A</v>
      </c>
      <c r="C80" s="2" t="e">
        <f>_xlfn.XLOOKUP(A80,UNIDADES[UNIDADE],UNIDADES[AREA TERRACO])</f>
        <v>#N/A</v>
      </c>
      <c r="D80" s="1" t="e">
        <f>_xlfn.XLOOKUP(A80,UNIDADES[UNIDADE],UNIDADES[AREA CALCULO DE PRECO])</f>
        <v>#N/A</v>
      </c>
      <c r="E80" s="3">
        <v>624954.94171520683</v>
      </c>
    </row>
    <row r="81" spans="1:5" x14ac:dyDescent="0.4">
      <c r="A81" t="s">
        <v>26</v>
      </c>
      <c r="B81" s="2" t="e">
        <f>_xlfn.XLOOKUP(A81,UNIDADES[UNIDADE],UNIDADES[AREA PADRAO])</f>
        <v>#N/A</v>
      </c>
      <c r="C81" s="2" t="e">
        <f>_xlfn.XLOOKUP(A81,UNIDADES[UNIDADE],UNIDADES[AREA TERRACO])</f>
        <v>#N/A</v>
      </c>
      <c r="D81" s="1" t="e">
        <f>_xlfn.XLOOKUP(A81,UNIDADES[UNIDADE],UNIDADES[AREA CALCULO DE PRECO])</f>
        <v>#N/A</v>
      </c>
      <c r="E81" s="3">
        <v>546864.64064915769</v>
      </c>
    </row>
    <row r="82" spans="1:5" x14ac:dyDescent="0.4">
      <c r="A82" t="s">
        <v>27</v>
      </c>
      <c r="B82" s="2" t="e">
        <f>_xlfn.XLOOKUP(A82,UNIDADES[UNIDADE],UNIDADES[AREA PADRAO])</f>
        <v>#N/A</v>
      </c>
      <c r="C82" s="2" t="e">
        <f>_xlfn.XLOOKUP(A82,UNIDADES[UNIDADE],UNIDADES[AREA TERRACO])</f>
        <v>#N/A</v>
      </c>
      <c r="D82" s="1" t="e">
        <f>_xlfn.XLOOKUP(A82,UNIDADES[UNIDADE],UNIDADES[AREA CALCULO DE PRECO])</f>
        <v>#N/A</v>
      </c>
      <c r="E82" s="3">
        <v>577823.59994693508</v>
      </c>
    </row>
    <row r="83" spans="1:5" x14ac:dyDescent="0.4">
      <c r="A83" t="s">
        <v>28</v>
      </c>
      <c r="B83" s="2" t="e">
        <f>_xlfn.XLOOKUP(A83,UNIDADES[UNIDADE],UNIDADES[AREA PADRAO])</f>
        <v>#N/A</v>
      </c>
      <c r="C83" s="2" t="e">
        <f>_xlfn.XLOOKUP(A83,UNIDADES[UNIDADE],UNIDADES[AREA TERRACO])</f>
        <v>#N/A</v>
      </c>
      <c r="D83" s="1" t="e">
        <f>_xlfn.XLOOKUP(A83,UNIDADES[UNIDADE],UNIDADES[AREA CALCULO DE PRECO])</f>
        <v>#N/A</v>
      </c>
      <c r="E83" s="3">
        <v>690110.6401280025</v>
      </c>
    </row>
    <row r="84" spans="1:5" x14ac:dyDescent="0.4">
      <c r="A84" t="s">
        <v>29</v>
      </c>
      <c r="B84" s="2" t="e">
        <f>_xlfn.XLOOKUP(A84,UNIDADES[UNIDADE],UNIDADES[AREA PADRAO])</f>
        <v>#N/A</v>
      </c>
      <c r="C84" s="2" t="e">
        <f>_xlfn.XLOOKUP(A84,UNIDADES[UNIDADE],UNIDADES[AREA TERRACO])</f>
        <v>#N/A</v>
      </c>
      <c r="D84" s="1" t="e">
        <f>_xlfn.XLOOKUP(A84,UNIDADES[UNIDADE],UNIDADES[AREA CALCULO DE PRECO])</f>
        <v>#N/A</v>
      </c>
      <c r="E84" s="3">
        <v>1272245.5558224299</v>
      </c>
    </row>
    <row r="85" spans="1:5" x14ac:dyDescent="0.4">
      <c r="A85" t="s">
        <v>31</v>
      </c>
      <c r="B85" s="2" t="e">
        <f>_xlfn.XLOOKUP(A85,UNIDADES[UNIDADE],UNIDADES[AREA PADRAO])</f>
        <v>#N/A</v>
      </c>
      <c r="C85" s="2" t="e">
        <f>_xlfn.XLOOKUP(A85,UNIDADES[UNIDADE],UNIDADES[AREA TERRACO])</f>
        <v>#N/A</v>
      </c>
      <c r="D85" s="1" t="e">
        <f>_xlfn.XLOOKUP(A85,UNIDADES[UNIDADE],UNIDADES[AREA CALCULO DE PRECO])</f>
        <v>#N/A</v>
      </c>
      <c r="E85" s="3">
        <v>1297844.8987292352</v>
      </c>
    </row>
    <row r="86" spans="1:5" x14ac:dyDescent="0.4">
      <c r="A86" t="s">
        <v>32</v>
      </c>
      <c r="B86" s="2" t="e">
        <f>_xlfn.XLOOKUP(A86,UNIDADES[UNIDADE],UNIDADES[AREA PADRAO])</f>
        <v>#N/A</v>
      </c>
      <c r="C86" s="2" t="e">
        <f>_xlfn.XLOOKUP(A86,UNIDADES[UNIDADE],UNIDADES[AREA TERRACO])</f>
        <v>#N/A</v>
      </c>
      <c r="D86" s="1" t="e">
        <f>_xlfn.XLOOKUP(A86,UNIDADES[UNIDADE],UNIDADES[AREA CALCULO DE PRECO])</f>
        <v>#N/A</v>
      </c>
      <c r="E86" s="3">
        <v>900071.62690009922</v>
      </c>
    </row>
    <row r="87" spans="1:5" x14ac:dyDescent="0.4">
      <c r="A87" t="s">
        <v>33</v>
      </c>
      <c r="B87" s="2" t="e">
        <f>_xlfn.XLOOKUP(A87,UNIDADES[UNIDADE],UNIDADES[AREA PADRAO])</f>
        <v>#N/A</v>
      </c>
      <c r="C87" s="2" t="e">
        <f>_xlfn.XLOOKUP(A87,UNIDADES[UNIDADE],UNIDADES[AREA TERRACO])</f>
        <v>#N/A</v>
      </c>
      <c r="D87" s="1" t="e">
        <f>_xlfn.XLOOKUP(A87,UNIDADES[UNIDADE],UNIDADES[AREA CALCULO DE PRECO])</f>
        <v>#N/A</v>
      </c>
      <c r="E87" s="3">
        <v>675853.56608020153</v>
      </c>
    </row>
    <row r="88" spans="1:5" x14ac:dyDescent="0.4">
      <c r="A88" t="s">
        <v>34</v>
      </c>
      <c r="B88" s="2" t="e">
        <f>_xlfn.XLOOKUP(A88,UNIDADES[UNIDADE],UNIDADES[AREA PADRAO])</f>
        <v>#N/A</v>
      </c>
      <c r="C88" s="2" t="e">
        <f>_xlfn.XLOOKUP(A88,UNIDADES[UNIDADE],UNIDADES[AREA TERRACO])</f>
        <v>#N/A</v>
      </c>
      <c r="D88" s="1" t="e">
        <f>_xlfn.XLOOKUP(A88,UNIDADES[UNIDADE],UNIDADES[AREA CALCULO DE PRECO])</f>
        <v>#N/A</v>
      </c>
      <c r="E88" s="3">
        <v>720790.95961599995</v>
      </c>
    </row>
    <row r="89" spans="1:5" x14ac:dyDescent="0.4">
      <c r="A89" t="s">
        <v>35</v>
      </c>
      <c r="B89" s="2" t="e">
        <f>_xlfn.XLOOKUP(A89,UNIDADES[UNIDADE],UNIDADES[AREA PADRAO])</f>
        <v>#N/A</v>
      </c>
      <c r="C89" s="2" t="e">
        <f>_xlfn.XLOOKUP(A89,UNIDADES[UNIDADE],UNIDADES[AREA TERRACO])</f>
        <v>#N/A</v>
      </c>
      <c r="D89" s="1" t="e">
        <f>_xlfn.XLOOKUP(A89,UNIDADES[UNIDADE],UNIDADES[AREA CALCULO DE PRECO])</f>
        <v>#N/A</v>
      </c>
      <c r="E89" s="3">
        <v>649953.139468882</v>
      </c>
    </row>
    <row r="90" spans="1:5" x14ac:dyDescent="0.4">
      <c r="A90" t="s">
        <v>36</v>
      </c>
      <c r="B90" s="2" t="e">
        <f>_xlfn.XLOOKUP(A90,UNIDADES[UNIDADE],UNIDADES[AREA PADRAO])</f>
        <v>#N/A</v>
      </c>
      <c r="C90" s="2" t="e">
        <f>_xlfn.XLOOKUP(A90,UNIDADES[UNIDADE],UNIDADES[AREA TERRACO])</f>
        <v>#N/A</v>
      </c>
      <c r="D90" s="1" t="e">
        <f>_xlfn.XLOOKUP(A90,UNIDADES[UNIDADE],UNIDADES[AREA CALCULO DE PRECO])</f>
        <v>#N/A</v>
      </c>
      <c r="E90" s="3">
        <v>562961.81827512966</v>
      </c>
    </row>
    <row r="91" spans="1:5" x14ac:dyDescent="0.4">
      <c r="A91" t="s">
        <v>37</v>
      </c>
      <c r="B91" s="2" t="e">
        <f>_xlfn.XLOOKUP(A91,UNIDADES[UNIDADE],UNIDADES[AREA PADRAO])</f>
        <v>#N/A</v>
      </c>
      <c r="C91" s="2" t="e">
        <f>_xlfn.XLOOKUP(A91,UNIDADES[UNIDADE],UNIDADES[AREA TERRACO])</f>
        <v>#N/A</v>
      </c>
      <c r="D91" s="1" t="e">
        <f>_xlfn.XLOOKUP(A91,UNIDADES[UNIDADE],UNIDADES[AREA CALCULO DE PRECO])</f>
        <v>#N/A</v>
      </c>
      <c r="E91" s="3">
        <v>606950.06688881258</v>
      </c>
    </row>
    <row r="92" spans="1:5" x14ac:dyDescent="0.4">
      <c r="A92" t="s">
        <v>38</v>
      </c>
      <c r="B92" s="2" t="e">
        <f>_xlfn.XLOOKUP(A92,UNIDADES[UNIDADE],UNIDADES[AREA PADRAO])</f>
        <v>#N/A</v>
      </c>
      <c r="C92" s="2" t="e">
        <f>_xlfn.XLOOKUP(A92,UNIDADES[UNIDADE],UNIDADES[AREA TERRACO])</f>
        <v>#N/A</v>
      </c>
      <c r="D92" s="1" t="e">
        <f>_xlfn.XLOOKUP(A92,UNIDADES[UNIDADE],UNIDADES[AREA CALCULO DE PRECO])</f>
        <v>#N/A</v>
      </c>
      <c r="E92" s="3">
        <v>725425.33355870366</v>
      </c>
    </row>
    <row r="93" spans="1:5" x14ac:dyDescent="0.4">
      <c r="A93" t="s">
        <v>39</v>
      </c>
      <c r="B93" s="2" t="e">
        <f>_xlfn.XLOOKUP(A93,UNIDADES[UNIDADE],UNIDADES[AREA PADRAO])</f>
        <v>#N/A</v>
      </c>
      <c r="C93" s="2" t="e">
        <f>_xlfn.XLOOKUP(A93,UNIDADES[UNIDADE],UNIDADES[AREA TERRACO])</f>
        <v>#N/A</v>
      </c>
      <c r="D93" s="1" t="e">
        <f>_xlfn.XLOOKUP(A93,UNIDADES[UNIDADE],UNIDADES[AREA CALCULO DE PRECO])</f>
        <v>#N/A</v>
      </c>
      <c r="E93" s="3">
        <v>1320593.9843920262</v>
      </c>
    </row>
    <row r="94" spans="1:5" x14ac:dyDescent="0.4">
      <c r="A94" t="s">
        <v>41</v>
      </c>
      <c r="B94" s="2" t="e">
        <f>_xlfn.XLOOKUP(A94,UNIDADES[UNIDADE],UNIDADES[AREA PADRAO])</f>
        <v>#N/A</v>
      </c>
      <c r="C94" s="2" t="e">
        <f>_xlfn.XLOOKUP(A94,UNIDADES[UNIDADE],UNIDADES[AREA TERRACO])</f>
        <v>#N/A</v>
      </c>
      <c r="D94" s="1" t="e">
        <f>_xlfn.XLOOKUP(A94,UNIDADES[UNIDADE],UNIDADES[AREA CALCULO DE PRECO])</f>
        <v>#N/A</v>
      </c>
      <c r="E94" s="3">
        <v>1339233.2902465027</v>
      </c>
    </row>
    <row r="95" spans="1:5" x14ac:dyDescent="0.4">
      <c r="A95" t="s">
        <v>42</v>
      </c>
      <c r="B95" s="2" t="e">
        <f>_xlfn.XLOOKUP(A95,UNIDADES[UNIDADE],UNIDADES[AREA PADRAO])</f>
        <v>#N/A</v>
      </c>
      <c r="C95" s="2" t="e">
        <f>_xlfn.XLOOKUP(A95,UNIDADES[UNIDADE],UNIDADES[AREA TERRACO])</f>
        <v>#N/A</v>
      </c>
      <c r="D95" s="1" t="e">
        <f>_xlfn.XLOOKUP(A95,UNIDADES[UNIDADE],UNIDADES[AREA CALCULO DE PRECO])</f>
        <v>#N/A</v>
      </c>
      <c r="E95" s="3">
        <v>936084.66988873889</v>
      </c>
    </row>
    <row r="96" spans="1:5" x14ac:dyDescent="0.4">
      <c r="A96" t="s">
        <v>43</v>
      </c>
      <c r="B96" s="2" t="e">
        <f>_xlfn.XLOOKUP(A96,UNIDADES[UNIDADE],UNIDADES[AREA PADRAO])</f>
        <v>#N/A</v>
      </c>
      <c r="C96" s="2" t="e">
        <f>_xlfn.XLOOKUP(A96,UNIDADES[UNIDADE],UNIDADES[AREA TERRACO])</f>
        <v>#N/A</v>
      </c>
      <c r="D96" s="1" t="e">
        <f>_xlfn.XLOOKUP(A96,UNIDADES[UNIDADE],UNIDADES[AREA CALCULO DE PRECO])</f>
        <v>#N/A</v>
      </c>
      <c r="E96" s="3">
        <v>695833.82375161955</v>
      </c>
    </row>
    <row r="97" spans="1:5" x14ac:dyDescent="0.4">
      <c r="A97" t="s">
        <v>44</v>
      </c>
      <c r="B97" s="2" t="e">
        <f>_xlfn.XLOOKUP(A97,UNIDADES[UNIDADE],UNIDADES[AREA PADRAO])</f>
        <v>#N/A</v>
      </c>
      <c r="C97" s="2" t="e">
        <f>_xlfn.XLOOKUP(A97,UNIDADES[UNIDADE],UNIDADES[AREA TERRACO])</f>
        <v>#N/A</v>
      </c>
      <c r="D97" s="1" t="e">
        <f>_xlfn.XLOOKUP(A97,UNIDADES[UNIDADE],UNIDADES[AREA CALCULO DE PRECO])</f>
        <v>#N/A</v>
      </c>
      <c r="E97" s="3">
        <v>742413.91093762266</v>
      </c>
    </row>
    <row r="98" spans="1:5" x14ac:dyDescent="0.4">
      <c r="A98" t="s">
        <v>45</v>
      </c>
      <c r="B98" s="2" t="e">
        <f>_xlfn.XLOOKUP(A98,UNIDADES[UNIDADE],UNIDADES[AREA PADRAO])</f>
        <v>#N/A</v>
      </c>
      <c r="C98" s="2" t="e">
        <f>_xlfn.XLOOKUP(A98,UNIDADES[UNIDADE],UNIDADES[AREA TERRACO])</f>
        <v>#N/A</v>
      </c>
      <c r="D98" s="1" t="e">
        <f>_xlfn.XLOOKUP(A98,UNIDADES[UNIDADE],UNIDADES[AREA CALCULO DE PRECO])</f>
        <v>#N/A</v>
      </c>
      <c r="E98" s="3">
        <v>669451.73356532957</v>
      </c>
    </row>
    <row r="99" spans="1:5" x14ac:dyDescent="0.4">
      <c r="A99" t="s">
        <v>46</v>
      </c>
      <c r="B99" s="2" t="e">
        <f>_xlfn.XLOOKUP(A99,UNIDADES[UNIDADE],UNIDADES[AREA PADRAO])</f>
        <v>#N/A</v>
      </c>
      <c r="C99" s="2" t="e">
        <f>_xlfn.XLOOKUP(A99,UNIDADES[UNIDADE],UNIDADES[AREA TERRACO])</f>
        <v>#N/A</v>
      </c>
      <c r="D99" s="1" t="e">
        <f>_xlfn.XLOOKUP(A99,UNIDADES[UNIDADE],UNIDADES[AREA CALCULO DE PRECO])</f>
        <v>#N/A</v>
      </c>
      <c r="E99" s="3">
        <v>585801.40306337771</v>
      </c>
    </row>
    <row r="100" spans="1:5" x14ac:dyDescent="0.4">
      <c r="A100" t="s">
        <v>47</v>
      </c>
      <c r="B100" s="2" t="e">
        <f>_xlfn.XLOOKUP(A100,UNIDADES[UNIDADE],UNIDADES[AREA PADRAO])</f>
        <v>#N/A</v>
      </c>
      <c r="C100" s="2" t="e">
        <f>_xlfn.XLOOKUP(A100,UNIDADES[UNIDADE],UNIDADES[AREA TERRACO])</f>
        <v>#N/A</v>
      </c>
      <c r="D100" s="1" t="e">
        <f>_xlfn.XLOOKUP(A100,UNIDADES[UNIDADE],UNIDADES[AREA CALCULO DE PRECO])</f>
        <v>#N/A</v>
      </c>
      <c r="E100" s="3">
        <v>618964.64026315685</v>
      </c>
    </row>
    <row r="101" spans="1:5" x14ac:dyDescent="0.4">
      <c r="A101" t="s">
        <v>48</v>
      </c>
      <c r="B101" s="2" t="e">
        <f>_xlfn.XLOOKUP(A101,UNIDADES[UNIDADE],UNIDADES[AREA PADRAO])</f>
        <v>#N/A</v>
      </c>
      <c r="C101" s="2" t="e">
        <f>_xlfn.XLOOKUP(A101,UNIDADES[UNIDADE],UNIDADES[AREA TERRACO])</f>
        <v>#N/A</v>
      </c>
      <c r="D101" s="1" t="e">
        <f>_xlfn.XLOOKUP(A101,UNIDADES[UNIDADE],UNIDADES[AREA CALCULO DE PRECO])</f>
        <v>#N/A</v>
      </c>
      <c r="E101" s="3">
        <v>739246.5177051163</v>
      </c>
    </row>
    <row r="102" spans="1:5" x14ac:dyDescent="0.4">
      <c r="A102" t="s">
        <v>49</v>
      </c>
      <c r="B102" s="2" t="e">
        <f>_xlfn.XLOOKUP(A102,UNIDADES[UNIDADE],UNIDADES[AREA PADRAO])</f>
        <v>#N/A</v>
      </c>
      <c r="C102" s="2" t="e">
        <f>_xlfn.XLOOKUP(A102,UNIDADES[UNIDADE],UNIDADES[AREA TERRACO])</f>
        <v>#N/A</v>
      </c>
      <c r="D102" s="1" t="e">
        <f>_xlfn.XLOOKUP(A102,UNIDADES[UNIDADE],UNIDADES[AREA CALCULO DE PRECO])</f>
        <v>#N/A</v>
      </c>
      <c r="E102" s="3">
        <v>1336621.1809470449</v>
      </c>
    </row>
    <row r="103" spans="1:5" x14ac:dyDescent="0.4">
      <c r="A103" t="s">
        <v>51</v>
      </c>
      <c r="B103" s="2" t="e">
        <f>_xlfn.XLOOKUP(A103,UNIDADES[UNIDADE],UNIDADES[AREA PADRAO])</f>
        <v>#N/A</v>
      </c>
      <c r="C103" s="2" t="e">
        <f>_xlfn.XLOOKUP(A103,UNIDADES[UNIDADE],UNIDADES[AREA TERRACO])</f>
        <v>#N/A</v>
      </c>
      <c r="D103" s="1" t="e">
        <f>_xlfn.XLOOKUP(A103,UNIDADES[UNIDADE],UNIDADES[AREA CALCULO DE PRECO])</f>
        <v>#N/A</v>
      </c>
      <c r="E103" s="3">
        <v>1363515.8506049346</v>
      </c>
    </row>
    <row r="104" spans="1:5" x14ac:dyDescent="0.4">
      <c r="A104" t="s">
        <v>52</v>
      </c>
      <c r="B104" s="2" t="e">
        <f>_xlfn.XLOOKUP(A104,UNIDADES[UNIDADE],UNIDADES[AREA PADRAO])</f>
        <v>#N/A</v>
      </c>
      <c r="C104" s="2" t="e">
        <f>_xlfn.XLOOKUP(A104,UNIDADES[UNIDADE],UNIDADES[AREA TERRACO])</f>
        <v>#N/A</v>
      </c>
      <c r="D104" s="1" t="e">
        <f>_xlfn.XLOOKUP(A104,UNIDADES[UNIDADE],UNIDADES[AREA CALCULO DE PRECO])</f>
        <v>#N/A</v>
      </c>
      <c r="E104" s="3">
        <v>945615.25122124434</v>
      </c>
    </row>
    <row r="105" spans="1:5" x14ac:dyDescent="0.4">
      <c r="A105" t="s">
        <v>53</v>
      </c>
      <c r="B105" s="2" t="e">
        <f>_xlfn.XLOOKUP(A105,UNIDADES[UNIDADE],UNIDADES[AREA PADRAO])</f>
        <v>#N/A</v>
      </c>
      <c r="C105" s="2" t="e">
        <f>_xlfn.XLOOKUP(A105,UNIDADES[UNIDADE],UNIDADES[AREA TERRACO])</f>
        <v>#N/A</v>
      </c>
      <c r="D105" s="1" t="e">
        <f>_xlfn.XLOOKUP(A105,UNIDADES[UNIDADE],UNIDADES[AREA CALCULO DE PRECO])</f>
        <v>#N/A</v>
      </c>
      <c r="E105" s="3">
        <v>710051.7565238598</v>
      </c>
    </row>
    <row r="106" spans="1:5" x14ac:dyDescent="0.4">
      <c r="A106" t="s">
        <v>54</v>
      </c>
      <c r="B106" s="2" t="e">
        <f>_xlfn.XLOOKUP(A106,UNIDADES[UNIDADE],UNIDADES[AREA PADRAO])</f>
        <v>#N/A</v>
      </c>
      <c r="C106" s="2" t="e">
        <f>_xlfn.XLOOKUP(A106,UNIDADES[UNIDADE],UNIDADES[AREA TERRACO])</f>
        <v>#N/A</v>
      </c>
      <c r="D106" s="1" t="e">
        <f>_xlfn.XLOOKUP(A106,UNIDADES[UNIDADE],UNIDADES[AREA CALCULO DE PRECO])</f>
        <v>#N/A</v>
      </c>
      <c r="E106" s="3">
        <v>757262.98217256961</v>
      </c>
    </row>
    <row r="107" spans="1:5" x14ac:dyDescent="0.4">
      <c r="A107" t="s">
        <v>55</v>
      </c>
      <c r="B107" s="2" t="e">
        <f>_xlfn.XLOOKUP(A107,UNIDADES[UNIDADE],UNIDADES[AREA PADRAO])</f>
        <v>#N/A</v>
      </c>
      <c r="C107" s="2" t="e">
        <f>_xlfn.XLOOKUP(A107,UNIDADES[UNIDADE],UNIDADES[AREA TERRACO])</f>
        <v>#N/A</v>
      </c>
      <c r="D107" s="1" t="e">
        <f>_xlfn.XLOOKUP(A107,UNIDADES[UNIDADE],UNIDADES[AREA CALCULO DE PRECO])</f>
        <v>#N/A</v>
      </c>
      <c r="E107" s="3">
        <v>682840.76832600753</v>
      </c>
    </row>
    <row r="108" spans="1:5" x14ac:dyDescent="0.4">
      <c r="A108" t="s">
        <v>56</v>
      </c>
      <c r="B108" s="2" t="e">
        <f>_xlfn.XLOOKUP(A108,UNIDADES[UNIDADE],UNIDADES[AREA PADRAO])</f>
        <v>#N/A</v>
      </c>
      <c r="C108" s="2" t="e">
        <f>_xlfn.XLOOKUP(A108,UNIDADES[UNIDADE],UNIDADES[AREA TERRACO])</f>
        <v>#N/A</v>
      </c>
      <c r="D108" s="1" t="e">
        <f>_xlfn.XLOOKUP(A108,UNIDADES[UNIDADE],UNIDADES[AREA CALCULO DE PRECO])</f>
        <v>#N/A</v>
      </c>
      <c r="E108" s="3">
        <v>591447.68627985136</v>
      </c>
    </row>
    <row r="109" spans="1:5" x14ac:dyDescent="0.4">
      <c r="A109" t="s">
        <v>57</v>
      </c>
      <c r="B109" s="2" t="e">
        <f>_xlfn.XLOOKUP(A109,UNIDADES[UNIDADE],UNIDADES[AREA PADRAO])</f>
        <v>#N/A</v>
      </c>
      <c r="C109" s="2" t="e">
        <f>_xlfn.XLOOKUP(A109,UNIDADES[UNIDADE],UNIDADES[AREA TERRACO])</f>
        <v>#N/A</v>
      </c>
      <c r="D109" s="1" t="e">
        <f>_xlfn.XLOOKUP(A109,UNIDADES[UNIDADE],UNIDADES[AREA CALCULO DE PRECO])</f>
        <v>#N/A</v>
      </c>
      <c r="E109" s="3">
        <v>637661.74027338647</v>
      </c>
    </row>
    <row r="110" spans="1:5" x14ac:dyDescent="0.4">
      <c r="A110" t="s">
        <v>58</v>
      </c>
      <c r="B110" s="2" t="e">
        <f>_xlfn.XLOOKUP(A110,UNIDADES[UNIDADE],UNIDADES[AREA PADRAO])</f>
        <v>#N/A</v>
      </c>
      <c r="C110" s="2" t="e">
        <f>_xlfn.XLOOKUP(A110,UNIDADES[UNIDADE],UNIDADES[AREA TERRACO])</f>
        <v>#N/A</v>
      </c>
      <c r="D110" s="1" t="e">
        <f>_xlfn.XLOOKUP(A110,UNIDADES[UNIDADE],UNIDADES[AREA CALCULO DE PRECO])</f>
        <v>#N/A</v>
      </c>
      <c r="E110" s="3">
        <v>762131.8554367742</v>
      </c>
    </row>
    <row r="111" spans="1:5" x14ac:dyDescent="0.4">
      <c r="A111" t="s">
        <v>59</v>
      </c>
      <c r="B111" s="2" t="e">
        <f>_xlfn.XLOOKUP(A111,UNIDADES[UNIDADE],UNIDADES[AREA PADRAO])</f>
        <v>#N/A</v>
      </c>
      <c r="C111" s="2" t="e">
        <f>_xlfn.XLOOKUP(A111,UNIDADES[UNIDADE],UNIDADES[AREA TERRACO])</f>
        <v>#N/A</v>
      </c>
      <c r="D111" s="1" t="e">
        <f>_xlfn.XLOOKUP(A111,UNIDADES[UNIDADE],UNIDADES[AREA CALCULO DE PRECO])</f>
        <v>#N/A</v>
      </c>
      <c r="E111" s="3">
        <v>1373945.9813614641</v>
      </c>
    </row>
    <row r="112" spans="1:5" x14ac:dyDescent="0.4">
      <c r="A112" t="s">
        <v>61</v>
      </c>
      <c r="B112" s="2" t="e">
        <f>_xlfn.XLOOKUP(A112,UNIDADES[UNIDADE],UNIDADES[AREA PADRAO])</f>
        <v>#N/A</v>
      </c>
      <c r="C112" s="2" t="e">
        <f>_xlfn.XLOOKUP(A112,UNIDADES[UNIDADE],UNIDADES[AREA TERRACO])</f>
        <v>#N/A</v>
      </c>
      <c r="D112" s="1" t="e">
        <f>_xlfn.XLOOKUP(A112,UNIDADES[UNIDADE],UNIDADES[AREA CALCULO DE PRECO])</f>
        <v>#N/A</v>
      </c>
      <c r="E112" s="3">
        <v>1393338.3151724613</v>
      </c>
    </row>
    <row r="113" spans="1:5" x14ac:dyDescent="0.4">
      <c r="A113" t="s">
        <v>62</v>
      </c>
      <c r="B113" s="2" t="e">
        <f>_xlfn.XLOOKUP(A113,UNIDADES[UNIDADE],UNIDADES[AREA PADRAO])</f>
        <v>#N/A</v>
      </c>
      <c r="C113" s="2" t="e">
        <f>_xlfn.XLOOKUP(A113,UNIDADES[UNIDADE],UNIDADES[AREA TERRACO])</f>
        <v>#N/A</v>
      </c>
      <c r="D113" s="1" t="e">
        <f>_xlfn.XLOOKUP(A113,UNIDADES[UNIDADE],UNIDADES[AREA CALCULO DE PRECO])</f>
        <v>#N/A</v>
      </c>
      <c r="E113" s="3">
        <v>973902.49055224389</v>
      </c>
    </row>
    <row r="114" spans="1:5" x14ac:dyDescent="0.4">
      <c r="A114" t="s">
        <v>63</v>
      </c>
      <c r="B114" s="2" t="e">
        <f>_xlfn.XLOOKUP(A114,UNIDADES[UNIDADE],UNIDADES[AREA PADRAO])</f>
        <v>#N/A</v>
      </c>
      <c r="C114" s="2" t="e">
        <f>_xlfn.XLOOKUP(A114,UNIDADES[UNIDADE],UNIDADES[AREA TERRACO])</f>
        <v>#N/A</v>
      </c>
      <c r="D114" s="1" t="e">
        <f>_xlfn.XLOOKUP(A114,UNIDADES[UNIDADE],UNIDADES[AREA CALCULO DE PRECO])</f>
        <v>#N/A</v>
      </c>
      <c r="E114" s="3">
        <v>723945.51023118501</v>
      </c>
    </row>
    <row r="115" spans="1:5" x14ac:dyDescent="0.4">
      <c r="A115" t="s">
        <v>64</v>
      </c>
      <c r="B115" s="2" t="e">
        <f>_xlfn.XLOOKUP(A115,UNIDADES[UNIDADE],UNIDADES[AREA PADRAO])</f>
        <v>#N/A</v>
      </c>
      <c r="C115" s="2" t="e">
        <f>_xlfn.XLOOKUP(A115,UNIDADES[UNIDADE],UNIDADES[AREA TERRACO])</f>
        <v>#N/A</v>
      </c>
      <c r="D115" s="1" t="e">
        <f>_xlfn.XLOOKUP(A115,UNIDADES[UNIDADE],UNIDADES[AREA CALCULO DE PRECO])</f>
        <v>#N/A</v>
      </c>
      <c r="E115" s="3">
        <v>772407.43293950253</v>
      </c>
    </row>
    <row r="116" spans="1:5" x14ac:dyDescent="0.4">
      <c r="A116" t="s">
        <v>65</v>
      </c>
      <c r="B116" s="2" t="e">
        <f>_xlfn.XLOOKUP(A116,UNIDADES[UNIDADE],UNIDADES[AREA PADRAO])</f>
        <v>#N/A</v>
      </c>
      <c r="C116" s="2" t="e">
        <f>_xlfn.XLOOKUP(A116,UNIDADES[UNIDADE],UNIDADES[AREA TERRACO])</f>
        <v>#N/A</v>
      </c>
      <c r="D116" s="1" t="e">
        <f>_xlfn.XLOOKUP(A116,UNIDADES[UNIDADE],UNIDADES[AREA CALCULO DE PRECO])</f>
        <v>#N/A</v>
      </c>
      <c r="E116" s="3">
        <v>696497.58360136882</v>
      </c>
    </row>
    <row r="117" spans="1:5" x14ac:dyDescent="0.4">
      <c r="A117" t="s">
        <v>66</v>
      </c>
      <c r="B117" s="2" t="e">
        <f>_xlfn.XLOOKUP(A117,UNIDADES[UNIDADE],UNIDADES[AREA PADRAO])</f>
        <v>#N/A</v>
      </c>
      <c r="C117" s="2" t="e">
        <f>_xlfn.XLOOKUP(A117,UNIDADES[UNIDADE],UNIDADES[AREA TERRACO])</f>
        <v>#N/A</v>
      </c>
      <c r="D117" s="1" t="e">
        <f>_xlfn.XLOOKUP(A117,UNIDADES[UNIDADE],UNIDADES[AREA CALCULO DE PRECO])</f>
        <v>#N/A</v>
      </c>
      <c r="E117" s="3">
        <v>609467.77974713815</v>
      </c>
    </row>
    <row r="118" spans="1:5" x14ac:dyDescent="0.4">
      <c r="A118" t="s">
        <v>67</v>
      </c>
      <c r="B118" s="2" t="e">
        <f>_xlfn.XLOOKUP(A118,UNIDADES[UNIDADE],UNIDADES[AREA PADRAO])</f>
        <v>#N/A</v>
      </c>
      <c r="C118" s="2" t="e">
        <f>_xlfn.XLOOKUP(A118,UNIDADES[UNIDADE],UNIDADES[AREA TERRACO])</f>
        <v>#N/A</v>
      </c>
      <c r="D118" s="1" t="e">
        <f>_xlfn.XLOOKUP(A118,UNIDADES[UNIDADE],UNIDADES[AREA CALCULO DE PRECO])</f>
        <v>#N/A</v>
      </c>
      <c r="E118" s="3">
        <v>643970.81172978843</v>
      </c>
    </row>
    <row r="119" spans="1:5" x14ac:dyDescent="0.4">
      <c r="A119" t="s">
        <v>68</v>
      </c>
      <c r="B119" s="2" t="e">
        <f>_xlfn.XLOOKUP(A119,UNIDADES[UNIDADE],UNIDADES[AREA PADRAO])</f>
        <v>#N/A</v>
      </c>
      <c r="C119" s="2" t="e">
        <f>_xlfn.XLOOKUP(A119,UNIDADES[UNIDADE],UNIDADES[AREA TERRACO])</f>
        <v>#N/A</v>
      </c>
      <c r="D119" s="1" t="e">
        <f>_xlfn.XLOOKUP(A119,UNIDADES[UNIDADE],UNIDADES[AREA CALCULO DE PRECO])</f>
        <v>#N/A</v>
      </c>
      <c r="E119" s="3">
        <v>769112.077020403</v>
      </c>
    </row>
    <row r="120" spans="1:5" x14ac:dyDescent="0.4">
      <c r="A120" t="s">
        <v>69</v>
      </c>
      <c r="B120" s="2" t="e">
        <f>_xlfn.XLOOKUP(A120,UNIDADES[UNIDADE],UNIDADES[AREA PADRAO])</f>
        <v>#N/A</v>
      </c>
      <c r="C120" s="2" t="e">
        <f>_xlfn.XLOOKUP(A120,UNIDADES[UNIDADE],UNIDADES[AREA TERRACO])</f>
        <v>#N/A</v>
      </c>
      <c r="D120" s="1" t="e">
        <f>_xlfn.XLOOKUP(A120,UNIDADES[UNIDADE],UNIDADES[AREA CALCULO DE PRECO])</f>
        <v>#N/A</v>
      </c>
      <c r="E120" s="3">
        <v>1390620.6766573056</v>
      </c>
    </row>
    <row r="121" spans="1:5" x14ac:dyDescent="0.4">
      <c r="A121" t="s">
        <v>71</v>
      </c>
      <c r="B121" s="2" t="e">
        <f>_xlfn.XLOOKUP(A121,UNIDADES[UNIDADE],UNIDADES[AREA PADRAO])</f>
        <v>#N/A</v>
      </c>
      <c r="C121" s="2" t="e">
        <f>_xlfn.XLOOKUP(A121,UNIDADES[UNIDADE],UNIDADES[AREA TERRACO])</f>
        <v>#N/A</v>
      </c>
      <c r="D121" s="1" t="e">
        <f>_xlfn.XLOOKUP(A121,UNIDADES[UNIDADE],UNIDADES[AREA CALCULO DE PRECO])</f>
        <v>#N/A</v>
      </c>
      <c r="E121" s="3">
        <v>1418601.8909693738</v>
      </c>
    </row>
    <row r="122" spans="1:5" x14ac:dyDescent="0.4">
      <c r="A122" t="s">
        <v>72</v>
      </c>
      <c r="B122" s="2" t="e">
        <f>_xlfn.XLOOKUP(A122,UNIDADES[UNIDADE],UNIDADES[AREA PADRAO])</f>
        <v>#N/A</v>
      </c>
      <c r="C122" s="2" t="e">
        <f>_xlfn.XLOOKUP(A122,UNIDADES[UNIDADE],UNIDADES[AREA TERRACO])</f>
        <v>#N/A</v>
      </c>
      <c r="D122" s="1" t="e">
        <f>_xlfn.XLOOKUP(A122,UNIDADES[UNIDADE],UNIDADES[AREA CALCULO DE PRECO])</f>
        <v>#N/A</v>
      </c>
      <c r="E122" s="3">
        <v>983818.10737058264</v>
      </c>
    </row>
    <row r="123" spans="1:5" x14ac:dyDescent="0.4">
      <c r="A123" t="s">
        <v>73</v>
      </c>
      <c r="B123" s="2" t="e">
        <f>_xlfn.XLOOKUP(A123,UNIDADES[UNIDADE],UNIDADES[AREA PADRAO])</f>
        <v>#N/A</v>
      </c>
      <c r="C123" s="2" t="e">
        <f>_xlfn.XLOOKUP(A123,UNIDADES[UNIDADE],UNIDADES[AREA TERRACO])</f>
        <v>#N/A</v>
      </c>
      <c r="D123" s="1" t="e">
        <f>_xlfn.XLOOKUP(A123,UNIDADES[UNIDADE],UNIDADES[AREA CALCULO DE PRECO])</f>
        <v>#N/A</v>
      </c>
      <c r="E123" s="3">
        <v>738737.84748742369</v>
      </c>
    </row>
    <row r="124" spans="1:5" x14ac:dyDescent="0.4">
      <c r="A124" t="s">
        <v>74</v>
      </c>
      <c r="B124" s="2" t="e">
        <f>_xlfn.XLOOKUP(A124,UNIDADES[UNIDADE],UNIDADES[AREA PADRAO])</f>
        <v>#N/A</v>
      </c>
      <c r="C124" s="2" t="e">
        <f>_xlfn.XLOOKUP(A124,UNIDADES[UNIDADE],UNIDADES[AREA TERRACO])</f>
        <v>#N/A</v>
      </c>
      <c r="D124" s="1" t="e">
        <f>_xlfn.XLOOKUP(A124,UNIDADES[UNIDADE],UNIDADES[AREA CALCULO DE PRECO])</f>
        <v>#N/A</v>
      </c>
      <c r="E124" s="3">
        <v>787856.40665234136</v>
      </c>
    </row>
    <row r="125" spans="1:5" x14ac:dyDescent="0.4">
      <c r="A125" t="s">
        <v>75</v>
      </c>
      <c r="B125" s="2" t="e">
        <f>_xlfn.XLOOKUP(A125,UNIDADES[UNIDADE],UNIDADES[AREA PADRAO])</f>
        <v>#N/A</v>
      </c>
      <c r="C125" s="2" t="e">
        <f>_xlfn.XLOOKUP(A125,UNIDADES[UNIDADE],UNIDADES[AREA TERRACO])</f>
        <v>#N/A</v>
      </c>
      <c r="D125" s="1" t="e">
        <f>_xlfn.XLOOKUP(A125,UNIDADES[UNIDADE],UNIDADES[AREA CALCULO DE PRECO])</f>
        <v>#N/A</v>
      </c>
      <c r="E125" s="3">
        <v>710427.53536637814</v>
      </c>
    </row>
    <row r="126" spans="1:5" x14ac:dyDescent="0.4">
      <c r="A126" t="s">
        <v>76</v>
      </c>
      <c r="B126" s="2" t="e">
        <f>_xlfn.XLOOKUP(A126,UNIDADES[UNIDADE],UNIDADES[AREA PADRAO])</f>
        <v>#N/A</v>
      </c>
      <c r="C126" s="2" t="e">
        <f>_xlfn.XLOOKUP(A126,UNIDADES[UNIDADE],UNIDADES[AREA TERRACO])</f>
        <v>#N/A</v>
      </c>
      <c r="D126" s="1" t="e">
        <f>_xlfn.XLOOKUP(A126,UNIDADES[UNIDADE],UNIDADES[AREA CALCULO DE PRECO])</f>
        <v>#N/A</v>
      </c>
      <c r="E126" s="3">
        <v>615342.17280555726</v>
      </c>
    </row>
    <row r="127" spans="1:5" x14ac:dyDescent="0.4">
      <c r="A127" t="s">
        <v>77</v>
      </c>
      <c r="B127" s="2" t="e">
        <f>_xlfn.XLOOKUP(A127,UNIDADES[UNIDADE],UNIDADES[AREA PADRAO])</f>
        <v>#N/A</v>
      </c>
      <c r="C127" s="2" t="e">
        <f>_xlfn.XLOOKUP(A127,UNIDADES[UNIDADE],UNIDADES[AREA TERRACO])</f>
        <v>#N/A</v>
      </c>
      <c r="D127" s="1" t="e">
        <f>_xlfn.XLOOKUP(A127,UNIDADES[UNIDADE],UNIDADES[AREA CALCULO DE PRECO])</f>
        <v>#N/A</v>
      </c>
      <c r="E127" s="3">
        <v>663423.27458043129</v>
      </c>
    </row>
    <row r="128" spans="1:5" x14ac:dyDescent="0.4">
      <c r="A128" t="s">
        <v>78</v>
      </c>
      <c r="B128" s="2" t="e">
        <f>_xlfn.XLOOKUP(A128,UNIDADES[UNIDADE],UNIDADES[AREA PADRAO])</f>
        <v>#N/A</v>
      </c>
      <c r="C128" s="2" t="e">
        <f>_xlfn.XLOOKUP(A128,UNIDADES[UNIDADE],UNIDADES[AREA TERRACO])</f>
        <v>#N/A</v>
      </c>
      <c r="D128" s="1" t="e">
        <f>_xlfn.XLOOKUP(A128,UNIDADES[UNIDADE],UNIDADES[AREA CALCULO DE PRECO])</f>
        <v>#N/A</v>
      </c>
      <c r="E128" s="3">
        <v>792921.98239641986</v>
      </c>
    </row>
    <row r="129" spans="1:5" x14ac:dyDescent="0.4">
      <c r="A129" t="s">
        <v>79</v>
      </c>
      <c r="B129" s="2" t="e">
        <f>_xlfn.XLOOKUP(A129,UNIDADES[UNIDADE],UNIDADES[AREA PADRAO])</f>
        <v>#N/A</v>
      </c>
      <c r="C129" s="2" t="e">
        <f>_xlfn.XLOOKUP(A129,UNIDADES[UNIDADE],UNIDADES[AREA TERRACO])</f>
        <v>#N/A</v>
      </c>
      <c r="D129" s="1" t="e">
        <f>_xlfn.XLOOKUP(A129,UNIDADES[UNIDADE],UNIDADES[AREA CALCULO DE PRECO])</f>
        <v>#N/A</v>
      </c>
      <c r="E129" s="3">
        <v>1429453.3990084673</v>
      </c>
    </row>
    <row r="130" spans="1:5" x14ac:dyDescent="0.4">
      <c r="A130" t="s">
        <v>81</v>
      </c>
      <c r="B130" s="2" t="e">
        <f>_xlfn.XLOOKUP(A130,UNIDADES[UNIDADE],UNIDADES[AREA PADRAO])</f>
        <v>#N/A</v>
      </c>
      <c r="C130" s="2" t="e">
        <f>_xlfn.XLOOKUP(A130,UNIDADES[UNIDADE],UNIDADES[AREA TERRACO])</f>
        <v>#N/A</v>
      </c>
      <c r="D130" s="1" t="e">
        <f>_xlfn.XLOOKUP(A130,UNIDADES[UNIDADE],UNIDADES[AREA CALCULO DE PRECO])</f>
        <v>#N/A</v>
      </c>
      <c r="E130" s="3">
        <v>1449629.1831054289</v>
      </c>
    </row>
    <row r="131" spans="1:5" x14ac:dyDescent="0.4">
      <c r="A131" t="s">
        <v>82</v>
      </c>
      <c r="B131" s="2" t="e">
        <f>_xlfn.XLOOKUP(A131,UNIDADES[UNIDADE],UNIDADES[AREA PADRAO])</f>
        <v>#N/A</v>
      </c>
      <c r="C131" s="2" t="e">
        <f>_xlfn.XLOOKUP(A131,UNIDADES[UNIDADE],UNIDADES[AREA TERRACO])</f>
        <v>#N/A</v>
      </c>
      <c r="D131" s="1" t="e">
        <f>_xlfn.XLOOKUP(A131,UNIDADES[UNIDADE],UNIDADES[AREA CALCULO DE PRECO])</f>
        <v>#N/A</v>
      </c>
      <c r="E131" s="3">
        <v>1013248.1511705546</v>
      </c>
    </row>
    <row r="132" spans="1:5" x14ac:dyDescent="0.4">
      <c r="A132" t="s">
        <v>83</v>
      </c>
      <c r="B132" s="2" t="e">
        <f>_xlfn.XLOOKUP(A132,UNIDADES[UNIDADE],UNIDADES[AREA PADRAO])</f>
        <v>#N/A</v>
      </c>
      <c r="C132" s="2" t="e">
        <f>_xlfn.XLOOKUP(A132,UNIDADES[UNIDADE],UNIDADES[AREA TERRACO])</f>
        <v>#N/A</v>
      </c>
      <c r="D132" s="1" t="e">
        <f>_xlfn.XLOOKUP(A132,UNIDADES[UNIDADE],UNIDADES[AREA CALCULO DE PRECO])</f>
        <v>#N/A</v>
      </c>
      <c r="E132" s="3">
        <v>753192.90884452499</v>
      </c>
    </row>
    <row r="133" spans="1:5" x14ac:dyDescent="0.4">
      <c r="A133" t="s">
        <v>84</v>
      </c>
      <c r="B133" s="2" t="e">
        <f>_xlfn.XLOOKUP(A133,UNIDADES[UNIDADE],UNIDADES[AREA PADRAO])</f>
        <v>#N/A</v>
      </c>
      <c r="C133" s="2" t="e">
        <f>_xlfn.XLOOKUP(A133,UNIDADES[UNIDADE],UNIDADES[AREA TERRACO])</f>
        <v>#N/A</v>
      </c>
      <c r="D133" s="1" t="e">
        <f>_xlfn.XLOOKUP(A133,UNIDADES[UNIDADE],UNIDADES[AREA CALCULO DE PRECO])</f>
        <v>#N/A</v>
      </c>
      <c r="E133" s="3">
        <v>803612.69323025853</v>
      </c>
    </row>
    <row r="134" spans="1:5" x14ac:dyDescent="0.4">
      <c r="A134" t="s">
        <v>85</v>
      </c>
      <c r="B134" s="2" t="e">
        <f>_xlfn.XLOOKUP(A134,UNIDADES[UNIDADE],UNIDADES[AREA PADRAO])</f>
        <v>#N/A</v>
      </c>
      <c r="C134" s="2" t="e">
        <f>_xlfn.XLOOKUP(A134,UNIDADES[UNIDADE],UNIDADES[AREA TERRACO])</f>
        <v>#N/A</v>
      </c>
      <c r="D134" s="1" t="e">
        <f>_xlfn.XLOOKUP(A134,UNIDADES[UNIDADE],UNIDADES[AREA CALCULO DE PRECO])</f>
        <v>#N/A</v>
      </c>
      <c r="E134" s="3">
        <v>724636.08597886411</v>
      </c>
    </row>
    <row r="135" spans="1:5" x14ac:dyDescent="0.4">
      <c r="A135" t="s">
        <v>86</v>
      </c>
      <c r="B135" s="2" t="e">
        <f>_xlfn.XLOOKUP(A135,UNIDADES[UNIDADE],UNIDADES[AREA PADRAO])</f>
        <v>#N/A</v>
      </c>
      <c r="C135" s="2" t="e">
        <f>_xlfn.XLOOKUP(A135,UNIDADES[UNIDADE],UNIDADES[AREA TERRACO])</f>
        <v>#N/A</v>
      </c>
      <c r="D135" s="1" t="e">
        <f>_xlfn.XLOOKUP(A135,UNIDADES[UNIDADE],UNIDADES[AREA CALCULO DE PRECO])</f>
        <v>#N/A</v>
      </c>
      <c r="E135" s="3">
        <v>634090.27804892254</v>
      </c>
    </row>
    <row r="136" spans="1:5" x14ac:dyDescent="0.4">
      <c r="A136" t="s">
        <v>87</v>
      </c>
      <c r="B136" s="2" t="e">
        <f>_xlfn.XLOOKUP(A136,UNIDADES[UNIDADE],UNIDADES[AREA PADRAO])</f>
        <v>#N/A</v>
      </c>
      <c r="C136" s="2" t="e">
        <f>_xlfn.XLOOKUP(A136,UNIDADES[UNIDADE],UNIDADES[AREA TERRACO])</f>
        <v>#N/A</v>
      </c>
      <c r="D136" s="1" t="e">
        <f>_xlfn.XLOOKUP(A136,UNIDADES[UNIDADE],UNIDADES[AREA CALCULO DE PRECO])</f>
        <v>#N/A</v>
      </c>
      <c r="E136" s="3">
        <v>669987.23252367193</v>
      </c>
    </row>
    <row r="137" spans="1:5" x14ac:dyDescent="0.4">
      <c r="A137" t="s">
        <v>88</v>
      </c>
      <c r="B137" s="2" t="e">
        <f>_xlfn.XLOOKUP(A137,UNIDADES[UNIDADE],UNIDADES[AREA PADRAO])</f>
        <v>#N/A</v>
      </c>
      <c r="C137" s="2" t="e">
        <f>_xlfn.XLOOKUP(A137,UNIDADES[UNIDADE],UNIDADES[AREA TERRACO])</f>
        <v>#N/A</v>
      </c>
      <c r="D137" s="1" t="e">
        <f>_xlfn.XLOOKUP(A137,UNIDADES[UNIDADE],UNIDADES[AREA CALCULO DE PRECO])</f>
        <v>#N/A</v>
      </c>
      <c r="E137" s="3">
        <v>800184.20493202726</v>
      </c>
    </row>
    <row r="138" spans="1:5" x14ac:dyDescent="0.4">
      <c r="A138" t="s">
        <v>89</v>
      </c>
      <c r="B138" s="2" t="e">
        <f>_xlfn.XLOOKUP(A138,UNIDADES[UNIDADE],UNIDADES[AREA PADRAO])</f>
        <v>#N/A</v>
      </c>
      <c r="C138" s="2" t="e">
        <f>_xlfn.XLOOKUP(A138,UNIDADES[UNIDADE],UNIDADES[AREA TERRACO])</f>
        <v>#N/A</v>
      </c>
      <c r="D138" s="1" t="e">
        <f>_xlfn.XLOOKUP(A138,UNIDADES[UNIDADE],UNIDADES[AREA CALCULO DE PRECO])</f>
        <v>#N/A</v>
      </c>
      <c r="E138" s="3">
        <v>1446801.7519942608</v>
      </c>
    </row>
    <row r="139" spans="1:5" x14ac:dyDescent="0.4">
      <c r="A139" t="s">
        <v>91</v>
      </c>
      <c r="B139" s="2" t="e">
        <f>_xlfn.XLOOKUP(A139,UNIDADES[UNIDADE],UNIDADES[AREA PADRAO])</f>
        <v>#N/A</v>
      </c>
      <c r="C139" s="2" t="e">
        <f>_xlfn.XLOOKUP(A139,UNIDADES[UNIDADE],UNIDADES[AREA TERRACO])</f>
        <v>#N/A</v>
      </c>
      <c r="D139" s="1" t="e">
        <f>_xlfn.XLOOKUP(A139,UNIDADES[UNIDADE],UNIDADES[AREA CALCULO DE PRECO])</f>
        <v>#N/A</v>
      </c>
      <c r="E139" s="3">
        <v>1475913.4073645365</v>
      </c>
    </row>
    <row r="140" spans="1:5" x14ac:dyDescent="0.4">
      <c r="A140" t="s">
        <v>92</v>
      </c>
      <c r="B140" s="2" t="e">
        <f>_xlfn.XLOOKUP(A140,UNIDADES[UNIDADE],UNIDADES[AREA PADRAO])</f>
        <v>#N/A</v>
      </c>
      <c r="C140" s="2" t="e">
        <f>_xlfn.XLOOKUP(A140,UNIDADES[UNIDADE],UNIDADES[AREA TERRACO])</f>
        <v>#N/A</v>
      </c>
      <c r="D140" s="1" t="e">
        <f>_xlfn.XLOOKUP(A140,UNIDADES[UNIDADE],UNIDADES[AREA CALCULO DE PRECO])</f>
        <v>#N/A</v>
      </c>
      <c r="E140" s="3">
        <v>1023564.3589083542</v>
      </c>
    </row>
    <row r="141" spans="1:5" x14ac:dyDescent="0.4">
      <c r="A141" t="s">
        <v>93</v>
      </c>
      <c r="B141" s="2" t="e">
        <f>_xlfn.XLOOKUP(A141,UNIDADES[UNIDADE],UNIDADES[AREA PADRAO])</f>
        <v>#N/A</v>
      </c>
      <c r="C141" s="2" t="e">
        <f>_xlfn.XLOOKUP(A141,UNIDADES[UNIDADE],UNIDADES[AREA TERRACO])</f>
        <v>#N/A</v>
      </c>
      <c r="D141" s="1" t="e">
        <f>_xlfn.XLOOKUP(A141,UNIDADES[UNIDADE],UNIDADES[AREA CALCULO DE PRECO])</f>
        <v>#N/A</v>
      </c>
      <c r="E141" s="3">
        <v>768582.85652591579</v>
      </c>
    </row>
    <row r="142" spans="1:5" x14ac:dyDescent="0.4">
      <c r="A142" t="s">
        <v>94</v>
      </c>
      <c r="B142" s="2" t="e">
        <f>_xlfn.XLOOKUP(A142,UNIDADES[UNIDADE],UNIDADES[AREA PADRAO])</f>
        <v>#N/A</v>
      </c>
      <c r="C142" s="2" t="e">
        <f>_xlfn.XLOOKUP(A142,UNIDADES[UNIDADE],UNIDADES[AREA TERRACO])</f>
        <v>#N/A</v>
      </c>
      <c r="D142" s="1" t="e">
        <f>_xlfn.XLOOKUP(A142,UNIDADES[UNIDADE],UNIDADES[AREA CALCULO DE PRECO])</f>
        <v>#N/A</v>
      </c>
      <c r="E142" s="3">
        <v>819685.80548109603</v>
      </c>
    </row>
    <row r="143" spans="1:5" x14ac:dyDescent="0.4">
      <c r="A143" t="s">
        <v>95</v>
      </c>
      <c r="B143" s="2" t="e">
        <f>_xlfn.XLOOKUP(A143,UNIDADES[UNIDADE],UNIDADES[AREA PADRAO])</f>
        <v>#N/A</v>
      </c>
      <c r="C143" s="2" t="e">
        <f>_xlfn.XLOOKUP(A143,UNIDADES[UNIDADE],UNIDADES[AREA TERRACO])</f>
        <v>#N/A</v>
      </c>
      <c r="D143" s="1" t="e">
        <f>_xlfn.XLOOKUP(A143,UNIDADES[UNIDADE],UNIDADES[AREA CALCULO DE PRECO])</f>
        <v>#N/A</v>
      </c>
      <c r="E143" s="3">
        <v>739128.80779517977</v>
      </c>
    </row>
    <row r="144" spans="1:5" x14ac:dyDescent="0.4">
      <c r="A144" t="s">
        <v>96</v>
      </c>
      <c r="B144" s="2" t="e">
        <f>_xlfn.XLOOKUP(A144,UNIDADES[UNIDADE],UNIDADES[AREA PADRAO])</f>
        <v>#N/A</v>
      </c>
      <c r="C144" s="2" t="e">
        <f>_xlfn.XLOOKUP(A144,UNIDADES[UNIDADE],UNIDADES[AREA TERRACO])</f>
        <v>#N/A</v>
      </c>
      <c r="D144" s="1" t="e">
        <f>_xlfn.XLOOKUP(A144,UNIDADES[UNIDADE],UNIDADES[AREA CALCULO DE PRECO])</f>
        <v>#N/A</v>
      </c>
      <c r="E144" s="3">
        <v>640201.99658690183</v>
      </c>
    </row>
    <row r="145" spans="1:5" x14ac:dyDescent="0.4">
      <c r="A145" t="s">
        <v>97</v>
      </c>
      <c r="B145" s="2" t="e">
        <f>_xlfn.XLOOKUP(A145,UNIDADES[UNIDADE],UNIDADES[AREA PADRAO])</f>
        <v>#N/A</v>
      </c>
      <c r="C145" s="2" t="e">
        <f>_xlfn.XLOOKUP(A145,UNIDADES[UNIDADE],UNIDADES[AREA TERRACO])</f>
        <v>#N/A</v>
      </c>
      <c r="D145" s="1" t="e">
        <f>_xlfn.XLOOKUP(A145,UNIDADES[UNIDADE],UNIDADES[AREA CALCULO DE PRECO])</f>
        <v>#N/A</v>
      </c>
      <c r="E145" s="3">
        <v>690225.57487348071</v>
      </c>
    </row>
    <row r="146" spans="1:5" x14ac:dyDescent="0.4">
      <c r="A146" t="s">
        <v>98</v>
      </c>
      <c r="B146" s="2" t="e">
        <f>_xlfn.XLOOKUP(A146,UNIDADES[UNIDADE],UNIDADES[AREA PADRAO])</f>
        <v>#N/A</v>
      </c>
      <c r="C146" s="2" t="e">
        <f>_xlfn.XLOOKUP(A146,UNIDADES[UNIDADE],UNIDADES[AREA TERRACO])</f>
        <v>#N/A</v>
      </c>
      <c r="D146" s="1" t="e">
        <f>_xlfn.XLOOKUP(A146,UNIDADES[UNIDADE],UNIDADES[AREA CALCULO DE PRECO])</f>
        <v>#N/A</v>
      </c>
      <c r="E146" s="3">
        <v>824956.03048523527</v>
      </c>
    </row>
    <row r="147" spans="1:5" x14ac:dyDescent="0.4">
      <c r="A147" t="s">
        <v>99</v>
      </c>
      <c r="B147" s="2" t="e">
        <f>_xlfn.XLOOKUP(A147,UNIDADES[UNIDADE],UNIDADES[AREA PADRAO])</f>
        <v>#N/A</v>
      </c>
      <c r="C147" s="2" t="e">
        <f>_xlfn.XLOOKUP(A147,UNIDADES[UNIDADE],UNIDADES[AREA TERRACO])</f>
        <v>#N/A</v>
      </c>
      <c r="D147" s="1" t="e">
        <f>_xlfn.XLOOKUP(A147,UNIDADES[UNIDADE],UNIDADES[AREA CALCULO DE PRECO])</f>
        <v>#N/A</v>
      </c>
      <c r="E147" s="3">
        <v>1487203.3163284096</v>
      </c>
    </row>
    <row r="148" spans="1:5" x14ac:dyDescent="0.4">
      <c r="A148" t="s">
        <v>101</v>
      </c>
      <c r="B148" s="2" t="e">
        <f>_xlfn.XLOOKUP(A148,UNIDADES[UNIDADE],UNIDADES[AREA PADRAO])</f>
        <v>#N/A</v>
      </c>
      <c r="C148" s="2" t="e">
        <f>_xlfn.XLOOKUP(A148,UNIDADES[UNIDADE],UNIDADES[AREA TERRACO])</f>
        <v>#N/A</v>
      </c>
      <c r="D148" s="1" t="e">
        <f>_xlfn.XLOOKUP(A148,UNIDADES[UNIDADE],UNIDADES[AREA CALCULO DE PRECO])</f>
        <v>#N/A</v>
      </c>
      <c r="E148" s="3">
        <v>1508194.2021028884</v>
      </c>
    </row>
    <row r="149" spans="1:5" x14ac:dyDescent="0.4">
      <c r="A149" t="s">
        <v>102</v>
      </c>
      <c r="B149" s="2" t="e">
        <f>_xlfn.XLOOKUP(A149,UNIDADES[UNIDADE],UNIDADES[AREA PADRAO])</f>
        <v>#N/A</v>
      </c>
      <c r="C149" s="2" t="e">
        <f>_xlfn.XLOOKUP(A149,UNIDADES[UNIDADE],UNIDADES[AREA TERRACO])</f>
        <v>#N/A</v>
      </c>
      <c r="D149" s="1" t="e">
        <f>_xlfn.XLOOKUP(A149,UNIDADES[UNIDADE],UNIDADES[AREA CALCULO DE PRECO])</f>
        <v>#N/A</v>
      </c>
      <c r="E149" s="3">
        <v>1054183.376477845</v>
      </c>
    </row>
    <row r="150" spans="1:5" x14ac:dyDescent="0.4">
      <c r="A150" t="s">
        <v>103</v>
      </c>
      <c r="B150" s="2" t="e">
        <f>_xlfn.XLOOKUP(A150,UNIDADES[UNIDADE],UNIDADES[AREA PADRAO])</f>
        <v>#N/A</v>
      </c>
      <c r="C150" s="2" t="e">
        <f>_xlfn.XLOOKUP(A150,UNIDADES[UNIDADE],UNIDADES[AREA TERRACO])</f>
        <v>#N/A</v>
      </c>
      <c r="D150" s="1" t="e">
        <f>_xlfn.XLOOKUP(A150,UNIDADES[UNIDADE],UNIDADES[AREA CALCULO DE PRECO])</f>
        <v>#N/A</v>
      </c>
      <c r="E150" s="3">
        <v>783621.90236184385</v>
      </c>
    </row>
    <row r="151" spans="1:5" x14ac:dyDescent="0.4">
      <c r="A151" t="s">
        <v>104</v>
      </c>
      <c r="B151" s="2" t="e">
        <f>_xlfn.XLOOKUP(A151,UNIDADES[UNIDADE],UNIDADES[AREA PADRAO])</f>
        <v>#N/A</v>
      </c>
      <c r="C151" s="2" t="e">
        <f>_xlfn.XLOOKUP(A151,UNIDADES[UNIDADE],UNIDADES[AREA TERRACO])</f>
        <v>#N/A</v>
      </c>
      <c r="D151" s="1" t="e">
        <f>_xlfn.XLOOKUP(A151,UNIDADES[UNIDADE],UNIDADES[AREA CALCULO DE PRECO])</f>
        <v>#N/A</v>
      </c>
      <c r="E151" s="3">
        <v>836078.646036761</v>
      </c>
    </row>
    <row r="152" spans="1:5" x14ac:dyDescent="0.4">
      <c r="A152" t="s">
        <v>105</v>
      </c>
      <c r="B152" s="2" t="e">
        <f>_xlfn.XLOOKUP(A152,UNIDADES[UNIDADE],UNIDADES[AREA PADRAO])</f>
        <v>#N/A</v>
      </c>
      <c r="C152" s="2" t="e">
        <f>_xlfn.XLOOKUP(A152,UNIDADES[UNIDADE],UNIDADES[AREA TERRACO])</f>
        <v>#N/A</v>
      </c>
      <c r="D152" s="1" t="e">
        <f>_xlfn.XLOOKUP(A152,UNIDADES[UNIDADE],UNIDADES[AREA CALCULO DE PRECO])</f>
        <v>#N/A</v>
      </c>
      <c r="E152" s="3">
        <v>753911.38385241025</v>
      </c>
    </row>
    <row r="153" spans="1:5" x14ac:dyDescent="0.4">
      <c r="A153" t="s">
        <v>106</v>
      </c>
      <c r="B153" s="2" t="e">
        <f>_xlfn.XLOOKUP(A153,UNIDADES[UNIDADE],UNIDADES[AREA PADRAO])</f>
        <v>#N/A</v>
      </c>
      <c r="C153" s="2" t="e">
        <f>_xlfn.XLOOKUP(A153,UNIDADES[UNIDADE],UNIDADES[AREA TERRACO])</f>
        <v>#N/A</v>
      </c>
      <c r="D153" s="1" t="e">
        <f>_xlfn.XLOOKUP(A153,UNIDADES[UNIDADE],UNIDADES[AREA CALCULO DE PRECO])</f>
        <v>#N/A</v>
      </c>
      <c r="E153" s="3">
        <v>659707.52528209891</v>
      </c>
    </row>
    <row r="154" spans="1:5" x14ac:dyDescent="0.4">
      <c r="A154" t="s">
        <v>107</v>
      </c>
      <c r="B154" s="2" t="e">
        <f>_xlfn.XLOOKUP(A154,UNIDADES[UNIDADE],UNIDADES[AREA PADRAO])</f>
        <v>#N/A</v>
      </c>
      <c r="C154" s="2" t="e">
        <f>_xlfn.XLOOKUP(A154,UNIDADES[UNIDADE],UNIDADES[AREA TERRACO])</f>
        <v>#N/A</v>
      </c>
      <c r="D154" s="1" t="e">
        <f>_xlfn.XLOOKUP(A154,UNIDADES[UNIDADE],UNIDADES[AREA CALCULO DE PRECO])</f>
        <v>#N/A</v>
      </c>
      <c r="E154" s="3">
        <v>697054.7167176283</v>
      </c>
    </row>
    <row r="155" spans="1:5" x14ac:dyDescent="0.4">
      <c r="A155" t="s">
        <v>108</v>
      </c>
      <c r="B155" s="2" t="e">
        <f>_xlfn.XLOOKUP(A155,UNIDADES[UNIDADE],UNIDADES[AREA PADRAO])</f>
        <v>#N/A</v>
      </c>
      <c r="C155" s="2" t="e">
        <f>_xlfn.XLOOKUP(A155,UNIDADES[UNIDADE],UNIDADES[AREA TERRACO])</f>
        <v>#N/A</v>
      </c>
      <c r="D155" s="1" t="e">
        <f>_xlfn.XLOOKUP(A155,UNIDADES[UNIDADE],UNIDADES[AREA CALCULO DE PRECO])</f>
        <v>#N/A</v>
      </c>
      <c r="E155" s="3">
        <v>832511.64681128121</v>
      </c>
    </row>
    <row r="156" spans="1:5" x14ac:dyDescent="0.4">
      <c r="A156" t="s">
        <v>109</v>
      </c>
      <c r="B156" s="2" t="e">
        <f>_xlfn.XLOOKUP(A156,UNIDADES[UNIDADE],UNIDADES[AREA PADRAO])</f>
        <v>#N/A</v>
      </c>
      <c r="C156" s="2" t="e">
        <f>_xlfn.XLOOKUP(A156,UNIDADES[UNIDADE],UNIDADES[AREA TERRACO])</f>
        <v>#N/A</v>
      </c>
      <c r="D156" s="1" t="e">
        <f>_xlfn.XLOOKUP(A156,UNIDADES[UNIDADE],UNIDADES[AREA CALCULO DE PRECO])</f>
        <v>#N/A</v>
      </c>
      <c r="E156" s="3">
        <v>1505252.5427748291</v>
      </c>
    </row>
    <row r="157" spans="1:5" x14ac:dyDescent="0.4">
      <c r="A157" t="s">
        <v>111</v>
      </c>
      <c r="B157" s="2" t="e">
        <f>_xlfn.XLOOKUP(A157,UNIDADES[UNIDADE],UNIDADES[AREA PADRAO])</f>
        <v>#N/A</v>
      </c>
      <c r="C157" s="2" t="e">
        <f>_xlfn.XLOOKUP(A157,UNIDADES[UNIDADE],UNIDADES[AREA TERRACO])</f>
        <v>#N/A</v>
      </c>
      <c r="D157" s="1" t="e">
        <f>_xlfn.XLOOKUP(A157,UNIDADES[UNIDADE],UNIDADES[AREA CALCULO DE PRECO])</f>
        <v>#N/A</v>
      </c>
      <c r="E157" s="3">
        <v>1535540.3090220641</v>
      </c>
    </row>
    <row r="158" spans="1:5" x14ac:dyDescent="0.4">
      <c r="A158" t="s">
        <v>112</v>
      </c>
      <c r="B158" s="2" t="e">
        <f>_xlfn.XLOOKUP(A158,UNIDADES[UNIDADE],UNIDADES[AREA PADRAO])</f>
        <v>#N/A</v>
      </c>
      <c r="C158" s="2" t="e">
        <f>_xlfn.XLOOKUP(A158,UNIDADES[UNIDADE],UNIDADES[AREA TERRACO])</f>
        <v>#N/A</v>
      </c>
      <c r="D158" s="1" t="e">
        <f>_xlfn.XLOOKUP(A158,UNIDADES[UNIDADE],UNIDADES[AREA CALCULO DE PRECO])</f>
        <v>#N/A</v>
      </c>
      <c r="E158" s="3">
        <v>1064916.3590082517</v>
      </c>
    </row>
    <row r="159" spans="1:5" x14ac:dyDescent="0.4">
      <c r="A159" t="s">
        <v>113</v>
      </c>
      <c r="B159" s="2" t="e">
        <f>_xlfn.XLOOKUP(A159,UNIDADES[UNIDADE],UNIDADES[AREA PADRAO])</f>
        <v>#N/A</v>
      </c>
      <c r="C159" s="2" t="e">
        <f>_xlfn.XLOOKUP(A159,UNIDADES[UNIDADE],UNIDADES[AREA TERRACO])</f>
        <v>#N/A</v>
      </c>
      <c r="D159" s="1" t="e">
        <f>_xlfn.XLOOKUP(A159,UNIDADES[UNIDADE],UNIDADES[AREA CALCULO DE PRECO])</f>
        <v>#N/A</v>
      </c>
      <c r="E159" s="3">
        <v>799633.60392956284</v>
      </c>
    </row>
    <row r="160" spans="1:5" x14ac:dyDescent="0.4">
      <c r="A160" t="s">
        <v>114</v>
      </c>
      <c r="B160" s="2" t="e">
        <f>_xlfn.XLOOKUP(A160,UNIDADES[UNIDADE],UNIDADES[AREA PADRAO])</f>
        <v>#N/A</v>
      </c>
      <c r="C160" s="2" t="e">
        <f>_xlfn.XLOOKUP(A160,UNIDADES[UNIDADE],UNIDADES[AREA TERRACO])</f>
        <v>#N/A</v>
      </c>
      <c r="D160" s="1" t="e">
        <f>_xlfn.XLOOKUP(A160,UNIDADES[UNIDADE],UNIDADES[AREA CALCULO DE PRECO])</f>
        <v>#N/A</v>
      </c>
      <c r="E160" s="3">
        <v>852801.1120225325</v>
      </c>
    </row>
    <row r="161" spans="1:5" x14ac:dyDescent="0.4">
      <c r="A161" t="s">
        <v>115</v>
      </c>
      <c r="B161" s="2" t="e">
        <f>_xlfn.XLOOKUP(A161,UNIDADES[UNIDADE],UNIDADES[AREA PADRAO])</f>
        <v>#N/A</v>
      </c>
      <c r="C161" s="2" t="e">
        <f>_xlfn.XLOOKUP(A161,UNIDADES[UNIDADE],UNIDADES[AREA TERRACO])</f>
        <v>#N/A</v>
      </c>
      <c r="D161" s="1" t="e">
        <f>_xlfn.XLOOKUP(A161,UNIDADES[UNIDADE],UNIDADES[AREA CALCULO DE PRECO])</f>
        <v>#N/A</v>
      </c>
      <c r="E161" s="3">
        <v>768989.61163010506</v>
      </c>
    </row>
    <row r="162" spans="1:5" x14ac:dyDescent="0.4">
      <c r="A162" t="s">
        <v>116</v>
      </c>
      <c r="B162" s="2" t="e">
        <f>_xlfn.XLOOKUP(A162,UNIDADES[UNIDADE],UNIDADES[AREA PADRAO])</f>
        <v>#N/A</v>
      </c>
      <c r="C162" s="2" t="e">
        <f>_xlfn.XLOOKUP(A162,UNIDADES[UNIDADE],UNIDADES[AREA TERRACO])</f>
        <v>#N/A</v>
      </c>
      <c r="D162" s="1" t="e">
        <f>_xlfn.XLOOKUP(A162,UNIDADES[UNIDADE],UNIDADES[AREA CALCULO DE PRECO])</f>
        <v>#N/A</v>
      </c>
      <c r="E162" s="3">
        <v>666066.15724901261</v>
      </c>
    </row>
    <row r="163" spans="1:5" x14ac:dyDescent="0.4">
      <c r="A163" t="s">
        <v>117</v>
      </c>
      <c r="B163" s="2" t="e">
        <f>_xlfn.XLOOKUP(A163,UNIDADES[UNIDADE],UNIDADES[AREA PADRAO])</f>
        <v>#N/A</v>
      </c>
      <c r="C163" s="2" t="e">
        <f>_xlfn.XLOOKUP(A163,UNIDADES[UNIDADE],UNIDADES[AREA TERRACO])</f>
        <v>#N/A</v>
      </c>
      <c r="D163" s="1" t="e">
        <f>_xlfn.XLOOKUP(A163,UNIDADES[UNIDADE],UNIDADES[AREA CALCULO DE PRECO])</f>
        <v>#N/A</v>
      </c>
      <c r="E163" s="3">
        <v>718110.68809836928</v>
      </c>
    </row>
    <row r="164" spans="1:5" x14ac:dyDescent="0.4">
      <c r="A164" t="s">
        <v>118</v>
      </c>
      <c r="B164" s="2" t="e">
        <f>_xlfn.XLOOKUP(A164,UNIDADES[UNIDADE],UNIDADES[AREA PADRAO])</f>
        <v>#N/A</v>
      </c>
      <c r="C164" s="2" t="e">
        <f>_xlfn.XLOOKUP(A164,UNIDADES[UNIDADE],UNIDADES[AREA TERRACO])</f>
        <v>#N/A</v>
      </c>
      <c r="D164" s="1" t="e">
        <f>_xlfn.XLOOKUP(A164,UNIDADES[UNIDADE],UNIDADES[AREA CALCULO DE PRECO])</f>
        <v>#N/A</v>
      </c>
      <c r="E164" s="3">
        <v>858284.2541168388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C5BF80-6D92-4FCA-A8FC-B0E2712588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UNIDADES</vt:lpstr>
      <vt:lpstr>TIPOLOGIAS</vt:lpstr>
      <vt:lpstr>TABELA PRECOS</vt:lpstr>
      <vt:lpstr>TABELA DE PRECOS HILTON</vt:lpstr>
      <vt:lpstr>'TABELA PRECOS'!Titulos_de_impressao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Borges do Amaral</dc:creator>
  <cp:lastModifiedBy>Caio Borges do Amaral</cp:lastModifiedBy>
  <cp:lastPrinted>2025-12-10T19:57:01Z</cp:lastPrinted>
  <dcterms:created xsi:type="dcterms:W3CDTF">2015-06-05T18:19:34Z</dcterms:created>
  <dcterms:modified xsi:type="dcterms:W3CDTF">2026-06-22T16:48:57Z</dcterms:modified>
</cp:coreProperties>
</file>